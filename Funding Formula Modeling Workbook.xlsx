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https://etsu365-my.sharepoint.com/personal/balioc_etsu_edu/Documents/RHERC 2_2024-2028/RHERC Year 1_Formula Supplement/4. Dissemination/Policy Brief/GitHub Materials/"/>
    </mc:Choice>
  </mc:AlternateContent>
  <xr:revisionPtr revIDLastSave="44" documentId="8_{D6F874B5-DA98-D746-B160-37BB0D9301AD}" xr6:coauthVersionLast="47" xr6:coauthVersionMax="47" xr10:uidLastSave="{6E455CFE-A7FC-704F-988D-45C8137C1D94}"/>
  <bookViews>
    <workbookView xWindow="0" yWindow="760" windowWidth="20320" windowHeight="17180" xr2:uid="{1821E6E1-57F7-43BF-9025-87F83BF5211A}"/>
  </bookViews>
  <sheets>
    <sheet name="Sheet 1. Introduction" sheetId="1" r:id="rId1"/>
    <sheet name="Sheet 2. County Level Data" sheetId="2" r:id="rId2"/>
    <sheet name="Sheet 3. Total Amounts " sheetId="3" r:id="rId3"/>
    <sheet name="Sheet 4. Per Capita Amounts" sheetId="7" r:id="rId4"/>
    <sheet name="Formula Calculations (LOCKED)" sheetId="5" r:id="rId5"/>
  </sheets>
  <definedNames>
    <definedName name="_xlnm._FilterDatabase" localSheetId="4" hidden="1">'Formula Calculations (LOCKED)'!$A$1:$R$300</definedName>
    <definedName name="_xlnm._FilterDatabase" localSheetId="1" hidden="1">'Sheet 2. County Level Data'!$A$1:$H$300</definedName>
    <definedName name="OLE_LINK1" localSheetId="0">'Sheet 1. Introduction'!$V$29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5" l="1"/>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4" i="5"/>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O5" i="5" l="1"/>
  <c r="P5" i="5" s="1"/>
  <c r="O6" i="5"/>
  <c r="P6" i="5" s="1"/>
  <c r="O7" i="5"/>
  <c r="O8" i="5"/>
  <c r="O9" i="5"/>
  <c r="O10" i="5"/>
  <c r="P10" i="5" s="1"/>
  <c r="O11" i="5"/>
  <c r="P11" i="5" s="1"/>
  <c r="O12" i="5"/>
  <c r="O13" i="5"/>
  <c r="O14" i="5"/>
  <c r="P14" i="5" s="1"/>
  <c r="O15" i="5"/>
  <c r="P15" i="5" s="1"/>
  <c r="O16" i="5"/>
  <c r="O17" i="5"/>
  <c r="P17" i="5" s="1"/>
  <c r="O18" i="5"/>
  <c r="P18" i="5" s="1"/>
  <c r="O19" i="5"/>
  <c r="P19" i="5" s="1"/>
  <c r="O20" i="5"/>
  <c r="P20" i="5" s="1"/>
  <c r="O21" i="5"/>
  <c r="P21" i="5" s="1"/>
  <c r="O22" i="5"/>
  <c r="P22" i="5" s="1"/>
  <c r="O23" i="5"/>
  <c r="P23" i="5" s="1"/>
  <c r="O24" i="5"/>
  <c r="P24" i="5" s="1"/>
  <c r="O25" i="5"/>
  <c r="P25" i="5" s="1"/>
  <c r="O26" i="5"/>
  <c r="P26" i="5" s="1"/>
  <c r="O27" i="5"/>
  <c r="P27" i="5" s="1"/>
  <c r="O28" i="5"/>
  <c r="P28" i="5" s="1"/>
  <c r="O29" i="5"/>
  <c r="P29" i="5" s="1"/>
  <c r="O30" i="5"/>
  <c r="P30" i="5" s="1"/>
  <c r="O31" i="5"/>
  <c r="O32" i="5"/>
  <c r="O33" i="5"/>
  <c r="P33" i="5" s="1"/>
  <c r="O34" i="5"/>
  <c r="P34" i="5" s="1"/>
  <c r="O35" i="5"/>
  <c r="P35" i="5" s="1"/>
  <c r="O36" i="5"/>
  <c r="O37" i="5"/>
  <c r="O38" i="5"/>
  <c r="P38" i="5" s="1"/>
  <c r="O39" i="5"/>
  <c r="O40" i="5"/>
  <c r="P40" i="5" s="1"/>
  <c r="O41" i="5"/>
  <c r="P41" i="5" s="1"/>
  <c r="O42" i="5"/>
  <c r="P42" i="5" s="1"/>
  <c r="O43" i="5"/>
  <c r="P43" i="5" s="1"/>
  <c r="O44" i="5"/>
  <c r="P44" i="5" s="1"/>
  <c r="O45" i="5"/>
  <c r="P45" i="5" s="1"/>
  <c r="O46" i="5"/>
  <c r="P46" i="5" s="1"/>
  <c r="O47" i="5"/>
  <c r="P47" i="5" s="1"/>
  <c r="O48" i="5"/>
  <c r="P48" i="5" s="1"/>
  <c r="O49" i="5"/>
  <c r="P49" i="5" s="1"/>
  <c r="O50" i="5"/>
  <c r="P50" i="5" s="1"/>
  <c r="O51" i="5"/>
  <c r="P51" i="5" s="1"/>
  <c r="O52" i="5"/>
  <c r="P52" i="5" s="1"/>
  <c r="O53" i="5"/>
  <c r="P53" i="5" s="1"/>
  <c r="O54" i="5"/>
  <c r="P54" i="5" s="1"/>
  <c r="O55" i="5"/>
  <c r="O56" i="5"/>
  <c r="O57" i="5"/>
  <c r="P57" i="5" s="1"/>
  <c r="O58" i="5"/>
  <c r="P58" i="5" s="1"/>
  <c r="O59" i="5"/>
  <c r="P59" i="5" s="1"/>
  <c r="O60" i="5"/>
  <c r="O61" i="5"/>
  <c r="O62" i="5"/>
  <c r="P62" i="5" s="1"/>
  <c r="O63" i="5"/>
  <c r="P63" i="5" s="1"/>
  <c r="O64" i="5"/>
  <c r="P64" i="5" s="1"/>
  <c r="O65" i="5"/>
  <c r="P65" i="5" s="1"/>
  <c r="O66" i="5"/>
  <c r="O67" i="5"/>
  <c r="P67" i="5" s="1"/>
  <c r="O68" i="5"/>
  <c r="P68" i="5" s="1"/>
  <c r="O69" i="5"/>
  <c r="P69" i="5" s="1"/>
  <c r="O70" i="5"/>
  <c r="P70" i="5" s="1"/>
  <c r="O71" i="5"/>
  <c r="P71" i="5" s="1"/>
  <c r="O72" i="5"/>
  <c r="P72" i="5" s="1"/>
  <c r="O73" i="5"/>
  <c r="P73" i="5" s="1"/>
  <c r="O74" i="5"/>
  <c r="P74" i="5" s="1"/>
  <c r="O75" i="5"/>
  <c r="P75" i="5" s="1"/>
  <c r="O76" i="5"/>
  <c r="P76" i="5" s="1"/>
  <c r="O77" i="5"/>
  <c r="P77" i="5" s="1"/>
  <c r="O78" i="5"/>
  <c r="P78" i="5" s="1"/>
  <c r="O79" i="5"/>
  <c r="O80" i="5"/>
  <c r="O81" i="5"/>
  <c r="O82" i="5"/>
  <c r="O83" i="5"/>
  <c r="P83" i="5" s="1"/>
  <c r="O84" i="5"/>
  <c r="P84" i="5" s="1"/>
  <c r="O85" i="5"/>
  <c r="O86" i="5"/>
  <c r="P86" i="5" s="1"/>
  <c r="O87" i="5"/>
  <c r="P87" i="5" s="1"/>
  <c r="O88" i="5"/>
  <c r="O89" i="5"/>
  <c r="P89" i="5" s="1"/>
  <c r="O90" i="5"/>
  <c r="P90" i="5" s="1"/>
  <c r="O91" i="5"/>
  <c r="P91" i="5" s="1"/>
  <c r="O92" i="5"/>
  <c r="P92" i="5" s="1"/>
  <c r="O93" i="5"/>
  <c r="P93" i="5" s="1"/>
  <c r="O94" i="5"/>
  <c r="P94" i="5" s="1"/>
  <c r="O95" i="5"/>
  <c r="P95" i="5" s="1"/>
  <c r="O96" i="5"/>
  <c r="P96" i="5" s="1"/>
  <c r="O97" i="5"/>
  <c r="P97" i="5" s="1"/>
  <c r="O98" i="5"/>
  <c r="P98" i="5" s="1"/>
  <c r="O99" i="5"/>
  <c r="P99" i="5" s="1"/>
  <c r="O100" i="5"/>
  <c r="P100" i="5" s="1"/>
  <c r="O101" i="5"/>
  <c r="P101" i="5" s="1"/>
  <c r="O102" i="5"/>
  <c r="P102" i="5" s="1"/>
  <c r="O103" i="5"/>
  <c r="O104" i="5"/>
  <c r="O105" i="5"/>
  <c r="P105" i="5" s="1"/>
  <c r="O106" i="5"/>
  <c r="P106" i="5" s="1"/>
  <c r="O107" i="5"/>
  <c r="P107" i="5" s="1"/>
  <c r="O108" i="5"/>
  <c r="O109" i="5"/>
  <c r="O110" i="5"/>
  <c r="P110" i="5" s="1"/>
  <c r="O111" i="5"/>
  <c r="P111" i="5" s="1"/>
  <c r="O112" i="5"/>
  <c r="O113" i="5"/>
  <c r="O114" i="5"/>
  <c r="O115" i="5"/>
  <c r="P115" i="5" s="1"/>
  <c r="O116" i="5"/>
  <c r="P116" i="5" s="1"/>
  <c r="O117" i="5"/>
  <c r="P117" i="5" s="1"/>
  <c r="O118" i="5"/>
  <c r="P118" i="5" s="1"/>
  <c r="O119" i="5"/>
  <c r="P119" i="5" s="1"/>
  <c r="O120" i="5"/>
  <c r="P120" i="5" s="1"/>
  <c r="O121" i="5"/>
  <c r="P121" i="5" s="1"/>
  <c r="O122" i="5"/>
  <c r="P122" i="5" s="1"/>
  <c r="O123" i="5"/>
  <c r="P123" i="5" s="1"/>
  <c r="O124" i="5"/>
  <c r="P124" i="5" s="1"/>
  <c r="O125" i="5"/>
  <c r="P125" i="5" s="1"/>
  <c r="O126" i="5"/>
  <c r="P126" i="5" s="1"/>
  <c r="O127" i="5"/>
  <c r="O128" i="5"/>
  <c r="O129" i="5"/>
  <c r="P129" i="5" s="1"/>
  <c r="O130" i="5"/>
  <c r="P130" i="5" s="1"/>
  <c r="O131" i="5"/>
  <c r="P131" i="5" s="1"/>
  <c r="O132" i="5"/>
  <c r="O133" i="5"/>
  <c r="O134" i="5"/>
  <c r="P134" i="5" s="1"/>
  <c r="O135" i="5"/>
  <c r="P135" i="5" s="1"/>
  <c r="O136" i="5"/>
  <c r="P136" i="5" s="1"/>
  <c r="O137" i="5"/>
  <c r="P137" i="5" s="1"/>
  <c r="O138" i="5"/>
  <c r="P138" i="5" s="1"/>
  <c r="O139" i="5"/>
  <c r="P139" i="5" s="1"/>
  <c r="O140" i="5"/>
  <c r="P140" i="5" s="1"/>
  <c r="O141" i="5"/>
  <c r="P141" i="5" s="1"/>
  <c r="O142" i="5"/>
  <c r="P142" i="5" s="1"/>
  <c r="O143" i="5"/>
  <c r="P143" i="5" s="1"/>
  <c r="O144" i="5"/>
  <c r="P144" i="5" s="1"/>
  <c r="O145" i="5"/>
  <c r="P145" i="5" s="1"/>
  <c r="O146" i="5"/>
  <c r="P146" i="5" s="1"/>
  <c r="O147" i="5"/>
  <c r="P147" i="5" s="1"/>
  <c r="O148" i="5"/>
  <c r="P148" i="5" s="1"/>
  <c r="O149" i="5"/>
  <c r="P149" i="5" s="1"/>
  <c r="O150" i="5"/>
  <c r="P150" i="5" s="1"/>
  <c r="O151" i="5"/>
  <c r="O152" i="5"/>
  <c r="O153" i="5"/>
  <c r="O154" i="5"/>
  <c r="P154" i="5" s="1"/>
  <c r="O155" i="5"/>
  <c r="P155" i="5" s="1"/>
  <c r="O156" i="5"/>
  <c r="P156" i="5" s="1"/>
  <c r="O157" i="5"/>
  <c r="O158" i="5"/>
  <c r="P158" i="5" s="1"/>
  <c r="O159" i="5"/>
  <c r="P159" i="5" s="1"/>
  <c r="O160" i="5"/>
  <c r="P160" i="5" s="1"/>
  <c r="O161" i="5"/>
  <c r="P161" i="5" s="1"/>
  <c r="O162" i="5"/>
  <c r="P162" i="5" s="1"/>
  <c r="O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4" i="5"/>
  <c r="I70" i="5"/>
  <c r="H5" i="5"/>
  <c r="I5" i="5" s="1"/>
  <c r="H6" i="5"/>
  <c r="I6" i="5" s="1"/>
  <c r="H7" i="5"/>
  <c r="I7" i="5" s="1"/>
  <c r="H8" i="5"/>
  <c r="I8" i="5" s="1"/>
  <c r="H9" i="5"/>
  <c r="I9" i="5" s="1"/>
  <c r="H10" i="5"/>
  <c r="I10" i="5" s="1"/>
  <c r="H11" i="5"/>
  <c r="I11" i="5" s="1"/>
  <c r="H12" i="5"/>
  <c r="H13" i="5"/>
  <c r="H14" i="5"/>
  <c r="I14" i="5" s="1"/>
  <c r="H15" i="5"/>
  <c r="I15" i="5" s="1"/>
  <c r="H16" i="5"/>
  <c r="I16" i="5" s="1"/>
  <c r="H17" i="5"/>
  <c r="I17" i="5" s="1"/>
  <c r="H18" i="5"/>
  <c r="I18" i="5" s="1"/>
  <c r="H19" i="5"/>
  <c r="I19" i="5" s="1"/>
  <c r="H20" i="5"/>
  <c r="I20" i="5" s="1"/>
  <c r="H21" i="5"/>
  <c r="I21" i="5" s="1"/>
  <c r="H22" i="5"/>
  <c r="I22" i="5" s="1"/>
  <c r="H23" i="5"/>
  <c r="I23" i="5" s="1"/>
  <c r="H24" i="5"/>
  <c r="I24" i="5" s="1"/>
  <c r="H25" i="5"/>
  <c r="I25" i="5" s="1"/>
  <c r="H26" i="5"/>
  <c r="I26" i="5" s="1"/>
  <c r="H27" i="5"/>
  <c r="I27" i="5" s="1"/>
  <c r="H28" i="5"/>
  <c r="I28" i="5" s="1"/>
  <c r="H29" i="5"/>
  <c r="I29" i="5" s="1"/>
  <c r="H30" i="5"/>
  <c r="I30" i="5" s="1"/>
  <c r="H31" i="5"/>
  <c r="I31" i="5" s="1"/>
  <c r="H32" i="5"/>
  <c r="I32" i="5" s="1"/>
  <c r="H33" i="5"/>
  <c r="I33" i="5" s="1"/>
  <c r="H34" i="5"/>
  <c r="I34" i="5" s="1"/>
  <c r="H35" i="5"/>
  <c r="I35" i="5" s="1"/>
  <c r="H36" i="5"/>
  <c r="H37" i="5"/>
  <c r="H38" i="5"/>
  <c r="H39" i="5"/>
  <c r="I39" i="5" s="1"/>
  <c r="H40" i="5"/>
  <c r="H41" i="5"/>
  <c r="I41" i="5" s="1"/>
  <c r="H42" i="5"/>
  <c r="I42" i="5" s="1"/>
  <c r="H43" i="5"/>
  <c r="I43" i="5" s="1"/>
  <c r="H44" i="5"/>
  <c r="I44" i="5" s="1"/>
  <c r="H45" i="5"/>
  <c r="I45" i="5" s="1"/>
  <c r="H46" i="5"/>
  <c r="H47" i="5"/>
  <c r="I47" i="5" s="1"/>
  <c r="H48" i="5"/>
  <c r="I48" i="5" s="1"/>
  <c r="H49" i="5"/>
  <c r="I49" i="5" s="1"/>
  <c r="H50" i="5"/>
  <c r="I50" i="5" s="1"/>
  <c r="H51" i="5"/>
  <c r="I51" i="5" s="1"/>
  <c r="H52" i="5"/>
  <c r="I52" i="5" s="1"/>
  <c r="H53" i="5"/>
  <c r="I53" i="5" s="1"/>
  <c r="H54" i="5"/>
  <c r="I54" i="5" s="1"/>
  <c r="H55" i="5"/>
  <c r="I55" i="5" s="1"/>
  <c r="H56" i="5"/>
  <c r="I56" i="5" s="1"/>
  <c r="H57" i="5"/>
  <c r="I57" i="5" s="1"/>
  <c r="H58" i="5"/>
  <c r="I58" i="5" s="1"/>
  <c r="H59" i="5"/>
  <c r="I59" i="5" s="1"/>
  <c r="H60" i="5"/>
  <c r="H61" i="5"/>
  <c r="H62" i="5"/>
  <c r="I62" i="5" s="1"/>
  <c r="H63" i="5"/>
  <c r="I63" i="5" s="1"/>
  <c r="H64" i="5"/>
  <c r="H65" i="5"/>
  <c r="I65" i="5" s="1"/>
  <c r="H66" i="5"/>
  <c r="I66" i="5" s="1"/>
  <c r="H67" i="5"/>
  <c r="I67" i="5" s="1"/>
  <c r="H68" i="5"/>
  <c r="I68" i="5" s="1"/>
  <c r="H69" i="5"/>
  <c r="I69" i="5" s="1"/>
  <c r="H70" i="5"/>
  <c r="H71" i="5"/>
  <c r="I71" i="5" s="1"/>
  <c r="H72" i="5"/>
  <c r="I72" i="5" s="1"/>
  <c r="H73" i="5"/>
  <c r="I73" i="5" s="1"/>
  <c r="H74" i="5"/>
  <c r="I74" i="5" s="1"/>
  <c r="H75" i="5"/>
  <c r="I75" i="5" s="1"/>
  <c r="H76" i="5"/>
  <c r="I76" i="5" s="1"/>
  <c r="H77" i="5"/>
  <c r="I77" i="5" s="1"/>
  <c r="H78" i="5"/>
  <c r="I78" i="5" s="1"/>
  <c r="H79" i="5"/>
  <c r="I79" i="5" s="1"/>
  <c r="H80" i="5"/>
  <c r="I80" i="5" s="1"/>
  <c r="H81" i="5"/>
  <c r="I81" i="5" s="1"/>
  <c r="H82" i="5"/>
  <c r="I82" i="5" s="1"/>
  <c r="H83" i="5"/>
  <c r="I83" i="5" s="1"/>
  <c r="H84" i="5"/>
  <c r="H85" i="5"/>
  <c r="H86" i="5"/>
  <c r="H87" i="5"/>
  <c r="H88" i="5"/>
  <c r="I88" i="5" s="1"/>
  <c r="H89" i="5"/>
  <c r="I89" i="5" s="1"/>
  <c r="H90" i="5"/>
  <c r="I90" i="5" s="1"/>
  <c r="H91" i="5"/>
  <c r="I91" i="5" s="1"/>
  <c r="H92" i="5"/>
  <c r="I92" i="5" s="1"/>
  <c r="H93" i="5"/>
  <c r="I93" i="5" s="1"/>
  <c r="H94" i="5"/>
  <c r="I94" i="5" s="1"/>
  <c r="H95" i="5"/>
  <c r="I95" i="5" s="1"/>
  <c r="H96" i="5"/>
  <c r="I96" i="5" s="1"/>
  <c r="H97" i="5"/>
  <c r="I97" i="5" s="1"/>
  <c r="H98" i="5"/>
  <c r="I98" i="5" s="1"/>
  <c r="H99" i="5"/>
  <c r="I99" i="5" s="1"/>
  <c r="H100" i="5"/>
  <c r="I100" i="5" s="1"/>
  <c r="H101" i="5"/>
  <c r="I101" i="5" s="1"/>
  <c r="H102" i="5"/>
  <c r="I102" i="5" s="1"/>
  <c r="H103" i="5"/>
  <c r="I103" i="5" s="1"/>
  <c r="H104" i="5"/>
  <c r="H105" i="5"/>
  <c r="I105" i="5" s="1"/>
  <c r="H106" i="5"/>
  <c r="I106" i="5" s="1"/>
  <c r="H107" i="5"/>
  <c r="I107" i="5" s="1"/>
  <c r="H108" i="5"/>
  <c r="H109" i="5"/>
  <c r="H110" i="5"/>
  <c r="I110" i="5" s="1"/>
  <c r="H111" i="5"/>
  <c r="I111" i="5" s="1"/>
  <c r="H112" i="5"/>
  <c r="I112" i="5" s="1"/>
  <c r="H113" i="5"/>
  <c r="H114" i="5"/>
  <c r="H115" i="5"/>
  <c r="I115" i="5" s="1"/>
  <c r="H116" i="5"/>
  <c r="I116" i="5" s="1"/>
  <c r="H117" i="5"/>
  <c r="I117" i="5" s="1"/>
  <c r="H118" i="5"/>
  <c r="I118" i="5" s="1"/>
  <c r="H119" i="5"/>
  <c r="I119" i="5" s="1"/>
  <c r="H120" i="5"/>
  <c r="I120" i="5" s="1"/>
  <c r="H121" i="5"/>
  <c r="I121" i="5" s="1"/>
  <c r="H122" i="5"/>
  <c r="I122" i="5" s="1"/>
  <c r="H123" i="5"/>
  <c r="I123" i="5" s="1"/>
  <c r="H124" i="5"/>
  <c r="I124" i="5" s="1"/>
  <c r="H125" i="5"/>
  <c r="I125" i="5" s="1"/>
  <c r="H126" i="5"/>
  <c r="I126" i="5" s="1"/>
  <c r="H127" i="5"/>
  <c r="I127" i="5" s="1"/>
  <c r="H128" i="5"/>
  <c r="I128" i="5" s="1"/>
  <c r="H129" i="5"/>
  <c r="I129" i="5" s="1"/>
  <c r="H130" i="5"/>
  <c r="I130" i="5" s="1"/>
  <c r="H131" i="5"/>
  <c r="I131" i="5" s="1"/>
  <c r="H132" i="5"/>
  <c r="H133" i="5"/>
  <c r="H134" i="5"/>
  <c r="I134" i="5" s="1"/>
  <c r="H135" i="5"/>
  <c r="I135" i="5" s="1"/>
  <c r="H136" i="5"/>
  <c r="I136" i="5" s="1"/>
  <c r="H137" i="5"/>
  <c r="I137" i="5" s="1"/>
  <c r="H138" i="5"/>
  <c r="I138" i="5" s="1"/>
  <c r="H139" i="5"/>
  <c r="I139" i="5" s="1"/>
  <c r="H140" i="5"/>
  <c r="I140" i="5" s="1"/>
  <c r="H141" i="5"/>
  <c r="I141" i="5" s="1"/>
  <c r="H142" i="5"/>
  <c r="H143" i="5"/>
  <c r="I143" i="5" s="1"/>
  <c r="H144" i="5"/>
  <c r="I144" i="5" s="1"/>
  <c r="H145" i="5"/>
  <c r="I145" i="5" s="1"/>
  <c r="H146" i="5"/>
  <c r="I146" i="5" s="1"/>
  <c r="H147" i="5"/>
  <c r="I147" i="5" s="1"/>
  <c r="H148" i="5"/>
  <c r="I148" i="5" s="1"/>
  <c r="H149" i="5"/>
  <c r="I149" i="5" s="1"/>
  <c r="H150" i="5"/>
  <c r="I150" i="5" s="1"/>
  <c r="H151" i="5"/>
  <c r="I151" i="5" s="1"/>
  <c r="H152" i="5"/>
  <c r="I152" i="5" s="1"/>
  <c r="H153" i="5"/>
  <c r="I153" i="5" s="1"/>
  <c r="H154" i="5"/>
  <c r="I154" i="5" s="1"/>
  <c r="H155" i="5"/>
  <c r="I155" i="5" s="1"/>
  <c r="H156" i="5"/>
  <c r="H157" i="5"/>
  <c r="H158" i="5"/>
  <c r="I158" i="5" s="1"/>
  <c r="H159" i="5"/>
  <c r="I159" i="5" s="1"/>
  <c r="H160" i="5"/>
  <c r="H161" i="5"/>
  <c r="I161" i="5" s="1"/>
  <c r="H162" i="5"/>
  <c r="I162" i="5" s="1"/>
  <c r="H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4" i="5"/>
  <c r="D5" i="5"/>
  <c r="S5" i="5" s="1"/>
  <c r="D6" i="5"/>
  <c r="S6" i="5" s="1"/>
  <c r="D7" i="5"/>
  <c r="S7" i="5" s="1"/>
  <c r="D8" i="5"/>
  <c r="S8" i="5" s="1"/>
  <c r="D9" i="5"/>
  <c r="S9" i="5" s="1"/>
  <c r="D10" i="5"/>
  <c r="S10" i="5" s="1"/>
  <c r="D11" i="5"/>
  <c r="S11" i="5" s="1"/>
  <c r="D12" i="5"/>
  <c r="S12" i="5" s="1"/>
  <c r="D13" i="5"/>
  <c r="S13" i="5" s="1"/>
  <c r="D14" i="5"/>
  <c r="S14" i="5" s="1"/>
  <c r="D15" i="5"/>
  <c r="S15" i="5" s="1"/>
  <c r="D16" i="5"/>
  <c r="S16" i="5" s="1"/>
  <c r="D17" i="5"/>
  <c r="S17" i="5" s="1"/>
  <c r="D18" i="5"/>
  <c r="S18" i="5" s="1"/>
  <c r="D19" i="5"/>
  <c r="S19" i="5" s="1"/>
  <c r="D20" i="5"/>
  <c r="S20" i="5" s="1"/>
  <c r="D21" i="5"/>
  <c r="S21" i="5" s="1"/>
  <c r="D22" i="5"/>
  <c r="S22" i="5" s="1"/>
  <c r="D23" i="5"/>
  <c r="S23" i="5" s="1"/>
  <c r="D24" i="5"/>
  <c r="S24" i="5" s="1"/>
  <c r="D25" i="5"/>
  <c r="S25" i="5" s="1"/>
  <c r="D26" i="5"/>
  <c r="S26" i="5" s="1"/>
  <c r="D27" i="5"/>
  <c r="S27" i="5" s="1"/>
  <c r="D28" i="5"/>
  <c r="S28" i="5" s="1"/>
  <c r="D29" i="5"/>
  <c r="S29" i="5" s="1"/>
  <c r="D30" i="5"/>
  <c r="S30" i="5" s="1"/>
  <c r="D31" i="5"/>
  <c r="S31" i="5" s="1"/>
  <c r="D32" i="5"/>
  <c r="S32" i="5" s="1"/>
  <c r="D33" i="5"/>
  <c r="S33" i="5" s="1"/>
  <c r="D34" i="5"/>
  <c r="S34" i="5" s="1"/>
  <c r="D35" i="5"/>
  <c r="S35" i="5" s="1"/>
  <c r="D36" i="5"/>
  <c r="S36" i="5" s="1"/>
  <c r="D37" i="5"/>
  <c r="S37" i="5" s="1"/>
  <c r="D38" i="5"/>
  <c r="S38" i="5" s="1"/>
  <c r="D39" i="5"/>
  <c r="S39" i="5" s="1"/>
  <c r="D40" i="5"/>
  <c r="S40" i="5" s="1"/>
  <c r="D41" i="5"/>
  <c r="S41" i="5" s="1"/>
  <c r="D42" i="5"/>
  <c r="S42" i="5" s="1"/>
  <c r="D43" i="5"/>
  <c r="S43" i="5" s="1"/>
  <c r="D44" i="5"/>
  <c r="S44" i="5" s="1"/>
  <c r="D45" i="5"/>
  <c r="S45" i="5" s="1"/>
  <c r="D46" i="5"/>
  <c r="S46" i="5" s="1"/>
  <c r="D47" i="5"/>
  <c r="S47" i="5" s="1"/>
  <c r="D48" i="5"/>
  <c r="S48" i="5" s="1"/>
  <c r="D49" i="5"/>
  <c r="S49" i="5" s="1"/>
  <c r="D50" i="5"/>
  <c r="S50" i="5" s="1"/>
  <c r="D51" i="5"/>
  <c r="S51" i="5" s="1"/>
  <c r="D52" i="5"/>
  <c r="S52" i="5" s="1"/>
  <c r="D53" i="5"/>
  <c r="S53" i="5" s="1"/>
  <c r="D54" i="5"/>
  <c r="S54" i="5" s="1"/>
  <c r="D55" i="5"/>
  <c r="S55" i="5" s="1"/>
  <c r="D56" i="5"/>
  <c r="S56" i="5" s="1"/>
  <c r="D57" i="5"/>
  <c r="S57" i="5" s="1"/>
  <c r="D58" i="5"/>
  <c r="S58" i="5" s="1"/>
  <c r="D59" i="5"/>
  <c r="S59" i="5" s="1"/>
  <c r="D60" i="5"/>
  <c r="S60" i="5" s="1"/>
  <c r="D61" i="5"/>
  <c r="S61" i="5" s="1"/>
  <c r="D62" i="5"/>
  <c r="S62" i="5" s="1"/>
  <c r="D63" i="5"/>
  <c r="S63" i="5" s="1"/>
  <c r="D64" i="5"/>
  <c r="S64" i="5" s="1"/>
  <c r="D65" i="5"/>
  <c r="S65" i="5" s="1"/>
  <c r="D66" i="5"/>
  <c r="S66" i="5" s="1"/>
  <c r="D67" i="5"/>
  <c r="S67" i="5" s="1"/>
  <c r="D68" i="5"/>
  <c r="S68" i="5" s="1"/>
  <c r="D69" i="5"/>
  <c r="S69" i="5" s="1"/>
  <c r="D70" i="5"/>
  <c r="S70" i="5" s="1"/>
  <c r="D71" i="5"/>
  <c r="S71" i="5" s="1"/>
  <c r="D72" i="5"/>
  <c r="S72" i="5" s="1"/>
  <c r="D73" i="5"/>
  <c r="S73" i="5" s="1"/>
  <c r="D74" i="5"/>
  <c r="S74" i="5" s="1"/>
  <c r="D75" i="5"/>
  <c r="S75" i="5" s="1"/>
  <c r="D76" i="5"/>
  <c r="S76" i="5" s="1"/>
  <c r="D77" i="5"/>
  <c r="S77" i="5" s="1"/>
  <c r="D78" i="5"/>
  <c r="S78" i="5" s="1"/>
  <c r="D79" i="5"/>
  <c r="S79" i="5" s="1"/>
  <c r="D80" i="5"/>
  <c r="S80" i="5" s="1"/>
  <c r="D81" i="5"/>
  <c r="S81" i="5" s="1"/>
  <c r="D82" i="5"/>
  <c r="S82" i="5" s="1"/>
  <c r="D83" i="5"/>
  <c r="S83" i="5" s="1"/>
  <c r="D84" i="5"/>
  <c r="S84" i="5" s="1"/>
  <c r="D85" i="5"/>
  <c r="S85" i="5" s="1"/>
  <c r="D86" i="5"/>
  <c r="S86" i="5" s="1"/>
  <c r="D87" i="5"/>
  <c r="S87" i="5" s="1"/>
  <c r="D88" i="5"/>
  <c r="S88" i="5" s="1"/>
  <c r="D89" i="5"/>
  <c r="S89" i="5" s="1"/>
  <c r="D90" i="5"/>
  <c r="S90" i="5" s="1"/>
  <c r="D91" i="5"/>
  <c r="S91" i="5" s="1"/>
  <c r="D92" i="5"/>
  <c r="S92" i="5" s="1"/>
  <c r="D93" i="5"/>
  <c r="S93" i="5" s="1"/>
  <c r="D94" i="5"/>
  <c r="S94" i="5" s="1"/>
  <c r="D95" i="5"/>
  <c r="S95" i="5" s="1"/>
  <c r="D96" i="5"/>
  <c r="S96" i="5" s="1"/>
  <c r="D97" i="5"/>
  <c r="S97" i="5" s="1"/>
  <c r="D98" i="5"/>
  <c r="S98" i="5" s="1"/>
  <c r="D99" i="5"/>
  <c r="S99" i="5" s="1"/>
  <c r="D100" i="5"/>
  <c r="S100" i="5" s="1"/>
  <c r="D101" i="5"/>
  <c r="S101" i="5" s="1"/>
  <c r="D102" i="5"/>
  <c r="S102" i="5" s="1"/>
  <c r="D103" i="5"/>
  <c r="S103" i="5" s="1"/>
  <c r="D104" i="5"/>
  <c r="S104" i="5" s="1"/>
  <c r="D105" i="5"/>
  <c r="S105" i="5" s="1"/>
  <c r="D106" i="5"/>
  <c r="S106" i="5" s="1"/>
  <c r="D107" i="5"/>
  <c r="S107" i="5" s="1"/>
  <c r="D108" i="5"/>
  <c r="S108" i="5" s="1"/>
  <c r="D109" i="5"/>
  <c r="S109" i="5" s="1"/>
  <c r="D110" i="5"/>
  <c r="S110" i="5" s="1"/>
  <c r="D111" i="5"/>
  <c r="S111" i="5" s="1"/>
  <c r="D112" i="5"/>
  <c r="S112" i="5" s="1"/>
  <c r="D113" i="5"/>
  <c r="S113" i="5" s="1"/>
  <c r="D114" i="5"/>
  <c r="S114" i="5" s="1"/>
  <c r="D115" i="5"/>
  <c r="S115" i="5" s="1"/>
  <c r="D116" i="5"/>
  <c r="S116" i="5" s="1"/>
  <c r="D117" i="5"/>
  <c r="S117" i="5" s="1"/>
  <c r="D118" i="5"/>
  <c r="S118" i="5" s="1"/>
  <c r="D119" i="5"/>
  <c r="S119" i="5" s="1"/>
  <c r="D120" i="5"/>
  <c r="S120" i="5" s="1"/>
  <c r="D121" i="5"/>
  <c r="S121" i="5" s="1"/>
  <c r="D122" i="5"/>
  <c r="S122" i="5" s="1"/>
  <c r="D123" i="5"/>
  <c r="S123" i="5" s="1"/>
  <c r="D124" i="5"/>
  <c r="S124" i="5" s="1"/>
  <c r="D125" i="5"/>
  <c r="S125" i="5" s="1"/>
  <c r="D126" i="5"/>
  <c r="S126" i="5" s="1"/>
  <c r="D127" i="5"/>
  <c r="S127" i="5" s="1"/>
  <c r="D128" i="5"/>
  <c r="S128" i="5" s="1"/>
  <c r="D129" i="5"/>
  <c r="S129" i="5" s="1"/>
  <c r="D130" i="5"/>
  <c r="S130" i="5" s="1"/>
  <c r="D131" i="5"/>
  <c r="S131" i="5" s="1"/>
  <c r="D132" i="5"/>
  <c r="S132" i="5" s="1"/>
  <c r="D133" i="5"/>
  <c r="S133" i="5" s="1"/>
  <c r="D134" i="5"/>
  <c r="S134" i="5" s="1"/>
  <c r="D135" i="5"/>
  <c r="S135" i="5" s="1"/>
  <c r="D136" i="5"/>
  <c r="S136" i="5" s="1"/>
  <c r="D137" i="5"/>
  <c r="S137" i="5" s="1"/>
  <c r="D138" i="5"/>
  <c r="S138" i="5" s="1"/>
  <c r="D139" i="5"/>
  <c r="S139" i="5" s="1"/>
  <c r="D140" i="5"/>
  <c r="S140" i="5" s="1"/>
  <c r="D141" i="5"/>
  <c r="S141" i="5" s="1"/>
  <c r="D142" i="5"/>
  <c r="S142" i="5" s="1"/>
  <c r="D143" i="5"/>
  <c r="S143" i="5" s="1"/>
  <c r="D144" i="5"/>
  <c r="S144" i="5" s="1"/>
  <c r="D145" i="5"/>
  <c r="S145" i="5" s="1"/>
  <c r="D146" i="5"/>
  <c r="S146" i="5" s="1"/>
  <c r="D147" i="5"/>
  <c r="S147" i="5" s="1"/>
  <c r="D148" i="5"/>
  <c r="S148" i="5" s="1"/>
  <c r="D149" i="5"/>
  <c r="S149" i="5" s="1"/>
  <c r="D150" i="5"/>
  <c r="S150" i="5" s="1"/>
  <c r="D151" i="5"/>
  <c r="S151" i="5" s="1"/>
  <c r="D152" i="5"/>
  <c r="S152" i="5" s="1"/>
  <c r="D153" i="5"/>
  <c r="S153" i="5" s="1"/>
  <c r="D154" i="5"/>
  <c r="S154" i="5" s="1"/>
  <c r="D155" i="5"/>
  <c r="S155" i="5" s="1"/>
  <c r="D156" i="5"/>
  <c r="S156" i="5" s="1"/>
  <c r="D157" i="5"/>
  <c r="S157" i="5" s="1"/>
  <c r="D158" i="5"/>
  <c r="S158" i="5" s="1"/>
  <c r="D159" i="5"/>
  <c r="S159" i="5" s="1"/>
  <c r="D160" i="5"/>
  <c r="S160" i="5" s="1"/>
  <c r="D161" i="5"/>
  <c r="S161" i="5" s="1"/>
  <c r="D162" i="5"/>
  <c r="S162" i="5" s="1"/>
  <c r="D4" i="5"/>
  <c r="S4" i="5" s="1"/>
  <c r="P9" i="5"/>
  <c r="I46" i="5"/>
  <c r="P66" i="5"/>
  <c r="P81" i="5"/>
  <c r="P82" i="5"/>
  <c r="P113" i="5"/>
  <c r="P114" i="5"/>
  <c r="I142" i="5"/>
  <c r="P153" i="5"/>
  <c r="P8" i="2"/>
  <c r="T11" i="2" s="1"/>
  <c r="P112" i="5" l="1"/>
  <c r="I37" i="5"/>
  <c r="I87" i="5"/>
  <c r="I86" i="5"/>
  <c r="P39" i="5"/>
  <c r="I61" i="5"/>
  <c r="I12" i="5"/>
  <c r="I38" i="5"/>
  <c r="I113" i="5"/>
  <c r="I13" i="5"/>
  <c r="I104" i="5"/>
  <c r="P88" i="5"/>
  <c r="I160" i="5"/>
  <c r="I114" i="5"/>
  <c r="I64" i="5"/>
  <c r="P16" i="5"/>
  <c r="I40" i="5"/>
  <c r="I85" i="5"/>
  <c r="I108" i="5"/>
  <c r="I132" i="5"/>
  <c r="I60" i="5"/>
  <c r="I109" i="5"/>
  <c r="I36" i="5"/>
  <c r="I157" i="5"/>
  <c r="P152" i="5"/>
  <c r="P128" i="5"/>
  <c r="P104" i="5"/>
  <c r="P80" i="5"/>
  <c r="P56" i="5"/>
  <c r="P32" i="5"/>
  <c r="P8" i="5"/>
  <c r="I133" i="5"/>
  <c r="P151" i="5"/>
  <c r="P127" i="5"/>
  <c r="P103" i="5"/>
  <c r="P79" i="5"/>
  <c r="P55" i="5"/>
  <c r="P31" i="5"/>
  <c r="P7" i="5"/>
  <c r="P157" i="5"/>
  <c r="P133" i="5"/>
  <c r="P109" i="5"/>
  <c r="P85" i="5"/>
  <c r="P61" i="5"/>
  <c r="P37" i="5"/>
  <c r="P13" i="5"/>
  <c r="I156" i="5"/>
  <c r="P132" i="5"/>
  <c r="P36" i="5"/>
  <c r="I84" i="5"/>
  <c r="P60" i="5"/>
  <c r="P108" i="5"/>
  <c r="P12" i="5"/>
  <c r="E26" i="5"/>
  <c r="E24" i="5"/>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4" i="3"/>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5" i="5"/>
  <c r="G6" i="5"/>
  <c r="G4" i="5"/>
  <c r="R158" i="5" l="1"/>
  <c r="Q158" i="5"/>
  <c r="Q102" i="5"/>
  <c r="R102" i="5"/>
  <c r="R62" i="5"/>
  <c r="Q62" i="5"/>
  <c r="R46" i="5"/>
  <c r="Q46" i="5"/>
  <c r="R141" i="5"/>
  <c r="Q141" i="5"/>
  <c r="R85" i="5"/>
  <c r="Q85" i="5"/>
  <c r="R140" i="5"/>
  <c r="Q140" i="5"/>
  <c r="R100" i="5"/>
  <c r="Q100" i="5"/>
  <c r="R52" i="5"/>
  <c r="Q52" i="5"/>
  <c r="R131" i="5"/>
  <c r="Q131" i="5"/>
  <c r="R107" i="5"/>
  <c r="Q107" i="5"/>
  <c r="Q91" i="5"/>
  <c r="R91" i="5"/>
  <c r="Q67" i="5"/>
  <c r="R67" i="5"/>
  <c r="R43" i="5"/>
  <c r="Q43" i="5"/>
  <c r="R11" i="5"/>
  <c r="Q11" i="5"/>
  <c r="R159" i="5"/>
  <c r="Q159" i="5"/>
  <c r="R151" i="5"/>
  <c r="Q151" i="5"/>
  <c r="R143" i="5"/>
  <c r="Q143" i="5"/>
  <c r="N135" i="5"/>
  <c r="R135" i="5"/>
  <c r="Q135" i="5"/>
  <c r="R127" i="5"/>
  <c r="Q127" i="5"/>
  <c r="R119" i="5"/>
  <c r="Q119" i="5"/>
  <c r="R111" i="5"/>
  <c r="Q111" i="5"/>
  <c r="R103" i="5"/>
  <c r="Q103" i="5"/>
  <c r="R95" i="5"/>
  <c r="Q95" i="5"/>
  <c r="M87" i="5"/>
  <c r="R87" i="5"/>
  <c r="Q87" i="5"/>
  <c r="R79" i="5"/>
  <c r="Q79" i="5"/>
  <c r="R71" i="5"/>
  <c r="Q71" i="5"/>
  <c r="N63" i="5"/>
  <c r="R63" i="5"/>
  <c r="Q63" i="5"/>
  <c r="R55" i="5"/>
  <c r="Q55" i="5"/>
  <c r="R47" i="5"/>
  <c r="Q47" i="5"/>
  <c r="K39" i="5"/>
  <c r="R39" i="5"/>
  <c r="Q39" i="5"/>
  <c r="R31" i="5"/>
  <c r="Q31" i="5"/>
  <c r="R23" i="5"/>
  <c r="Q23" i="5"/>
  <c r="R15" i="5"/>
  <c r="Q15" i="5"/>
  <c r="R7" i="5"/>
  <c r="Q7" i="5"/>
  <c r="R14" i="5"/>
  <c r="Q14" i="5"/>
  <c r="K110" i="5"/>
  <c r="R110" i="5"/>
  <c r="Q110" i="5"/>
  <c r="R70" i="5"/>
  <c r="Q70" i="5"/>
  <c r="R38" i="5"/>
  <c r="Q38" i="5"/>
  <c r="R157" i="5"/>
  <c r="Q157" i="5"/>
  <c r="R125" i="5"/>
  <c r="Q125" i="5"/>
  <c r="Q101" i="5"/>
  <c r="R101" i="5"/>
  <c r="R93" i="5"/>
  <c r="Q93" i="5"/>
  <c r="R77" i="5"/>
  <c r="Q77" i="5"/>
  <c r="Q69" i="5"/>
  <c r="R69" i="5"/>
  <c r="R61" i="5"/>
  <c r="Q61" i="5"/>
  <c r="R53" i="5"/>
  <c r="Q53" i="5"/>
  <c r="R45" i="5"/>
  <c r="Q45" i="5"/>
  <c r="Q37" i="5"/>
  <c r="R37" i="5"/>
  <c r="R29" i="5"/>
  <c r="Q29" i="5"/>
  <c r="K13" i="5"/>
  <c r="R13" i="5"/>
  <c r="Q13" i="5"/>
  <c r="R142" i="5"/>
  <c r="Q142" i="5"/>
  <c r="R126" i="5"/>
  <c r="Q126" i="5"/>
  <c r="R118" i="5"/>
  <c r="Q118" i="5"/>
  <c r="R86" i="5"/>
  <c r="Q86" i="5"/>
  <c r="J30" i="5"/>
  <c r="R30" i="5"/>
  <c r="Q30" i="5"/>
  <c r="R149" i="5"/>
  <c r="Q149" i="5"/>
  <c r="R133" i="5"/>
  <c r="Q133" i="5"/>
  <c r="R117" i="5"/>
  <c r="Q117" i="5"/>
  <c r="J109" i="5"/>
  <c r="R109" i="5"/>
  <c r="Q109" i="5"/>
  <c r="R68" i="5"/>
  <c r="Q68" i="5"/>
  <c r="R150" i="5"/>
  <c r="Q150" i="5"/>
  <c r="K94" i="5"/>
  <c r="R94" i="5"/>
  <c r="Q94" i="5"/>
  <c r="R22" i="5"/>
  <c r="Q22" i="5"/>
  <c r="R156" i="5"/>
  <c r="Q156" i="5"/>
  <c r="Q4" i="5"/>
  <c r="R4" i="5"/>
  <c r="J108" i="5"/>
  <c r="R108" i="5"/>
  <c r="Q108" i="5"/>
  <c r="R139" i="5"/>
  <c r="Q139" i="5"/>
  <c r="R35" i="5"/>
  <c r="Q35" i="5"/>
  <c r="R146" i="5"/>
  <c r="Q146" i="5"/>
  <c r="R122" i="5"/>
  <c r="Q122" i="5"/>
  <c r="R98" i="5"/>
  <c r="Q98" i="5"/>
  <c r="R82" i="5"/>
  <c r="Q82" i="5"/>
  <c r="R66" i="5"/>
  <c r="Q66" i="5"/>
  <c r="R58" i="5"/>
  <c r="Q58" i="5"/>
  <c r="K50" i="5"/>
  <c r="R50" i="5"/>
  <c r="Q50" i="5"/>
  <c r="R42" i="5"/>
  <c r="Q42" i="5"/>
  <c r="K34" i="5"/>
  <c r="R34" i="5"/>
  <c r="Q34" i="5"/>
  <c r="R26" i="5"/>
  <c r="Q26" i="5"/>
  <c r="K18" i="5"/>
  <c r="R18" i="5"/>
  <c r="Q18" i="5"/>
  <c r="R10" i="5"/>
  <c r="Q10" i="5"/>
  <c r="Q134" i="5"/>
  <c r="R134" i="5"/>
  <c r="R78" i="5"/>
  <c r="Q78" i="5"/>
  <c r="R54" i="5"/>
  <c r="Q54" i="5"/>
  <c r="R21" i="5"/>
  <c r="Q21" i="5"/>
  <c r="R148" i="5"/>
  <c r="Q148" i="5"/>
  <c r="R124" i="5"/>
  <c r="Q124" i="5"/>
  <c r="R92" i="5"/>
  <c r="Q92" i="5"/>
  <c r="R76" i="5"/>
  <c r="Q76" i="5"/>
  <c r="R44" i="5"/>
  <c r="Q44" i="5"/>
  <c r="R20" i="5"/>
  <c r="Q20" i="5"/>
  <c r="J6" i="5"/>
  <c r="R6" i="5"/>
  <c r="Q6" i="5"/>
  <c r="Q147" i="5"/>
  <c r="R147" i="5"/>
  <c r="Q123" i="5"/>
  <c r="R123" i="5"/>
  <c r="R99" i="5"/>
  <c r="Q99" i="5"/>
  <c r="R75" i="5"/>
  <c r="Q75" i="5"/>
  <c r="Q59" i="5"/>
  <c r="R59" i="5"/>
  <c r="K51" i="5"/>
  <c r="Q51" i="5"/>
  <c r="R51" i="5"/>
  <c r="Q19" i="5"/>
  <c r="R19" i="5"/>
  <c r="R5" i="5"/>
  <c r="Q5" i="5"/>
  <c r="R138" i="5"/>
  <c r="Q138" i="5"/>
  <c r="R114" i="5"/>
  <c r="Q114" i="5"/>
  <c r="R90" i="5"/>
  <c r="Q90" i="5"/>
  <c r="Q145" i="5"/>
  <c r="R145" i="5"/>
  <c r="R105" i="5"/>
  <c r="Q105" i="5"/>
  <c r="J65" i="5"/>
  <c r="Q65" i="5"/>
  <c r="R65" i="5"/>
  <c r="Q33" i="5"/>
  <c r="R33" i="5"/>
  <c r="R9" i="5"/>
  <c r="Q9" i="5"/>
  <c r="J132" i="5"/>
  <c r="R132" i="5"/>
  <c r="Q132" i="5"/>
  <c r="R116" i="5"/>
  <c r="Q116" i="5"/>
  <c r="R84" i="5"/>
  <c r="Q84" i="5"/>
  <c r="Q60" i="5"/>
  <c r="R60" i="5"/>
  <c r="R36" i="5"/>
  <c r="Q36" i="5"/>
  <c r="Q28" i="5"/>
  <c r="R28" i="5"/>
  <c r="R12" i="5"/>
  <c r="Q12" i="5"/>
  <c r="Q155" i="5"/>
  <c r="R155" i="5"/>
  <c r="Q115" i="5"/>
  <c r="R115" i="5"/>
  <c r="Q83" i="5"/>
  <c r="R83" i="5"/>
  <c r="Q27" i="5"/>
  <c r="R27" i="5"/>
  <c r="R154" i="5"/>
  <c r="Q154" i="5"/>
  <c r="R130" i="5"/>
  <c r="Q130" i="5"/>
  <c r="R106" i="5"/>
  <c r="Q106" i="5"/>
  <c r="R74" i="5"/>
  <c r="Q74" i="5"/>
  <c r="Q161" i="5"/>
  <c r="R161" i="5"/>
  <c r="Q153" i="5"/>
  <c r="R153" i="5"/>
  <c r="J137" i="5"/>
  <c r="R137" i="5"/>
  <c r="Q137" i="5"/>
  <c r="Q129" i="5"/>
  <c r="R129" i="5"/>
  <c r="Q121" i="5"/>
  <c r="R121" i="5"/>
  <c r="Q113" i="5"/>
  <c r="R113" i="5"/>
  <c r="K97" i="5"/>
  <c r="Q97" i="5"/>
  <c r="R97" i="5"/>
  <c r="Q89" i="5"/>
  <c r="R89" i="5"/>
  <c r="Q81" i="5"/>
  <c r="R81" i="5"/>
  <c r="R73" i="5"/>
  <c r="Q73" i="5"/>
  <c r="Q57" i="5"/>
  <c r="R57" i="5"/>
  <c r="Q49" i="5"/>
  <c r="R49" i="5"/>
  <c r="N41" i="5"/>
  <c r="R41" i="5"/>
  <c r="Q41" i="5"/>
  <c r="Q25" i="5"/>
  <c r="R25" i="5"/>
  <c r="Q17" i="5"/>
  <c r="R17" i="5"/>
  <c r="Q160" i="5"/>
  <c r="R160" i="5"/>
  <c r="Q152" i="5"/>
  <c r="R152" i="5"/>
  <c r="Q144" i="5"/>
  <c r="R144" i="5"/>
  <c r="J136" i="5"/>
  <c r="Q136" i="5"/>
  <c r="R136" i="5"/>
  <c r="Q128" i="5"/>
  <c r="R128" i="5"/>
  <c r="Q120" i="5"/>
  <c r="R120" i="5"/>
  <c r="Q112" i="5"/>
  <c r="R112" i="5"/>
  <c r="Q104" i="5"/>
  <c r="R104" i="5"/>
  <c r="Q96" i="5"/>
  <c r="R96" i="5"/>
  <c r="Q88" i="5"/>
  <c r="R88" i="5"/>
  <c r="Q80" i="5"/>
  <c r="R80" i="5"/>
  <c r="Q72" i="5"/>
  <c r="R72" i="5"/>
  <c r="N64" i="5"/>
  <c r="Q64" i="5"/>
  <c r="R64" i="5"/>
  <c r="Q56" i="5"/>
  <c r="R56" i="5"/>
  <c r="Q48" i="5"/>
  <c r="R48" i="5"/>
  <c r="N40" i="5"/>
  <c r="Q40" i="5"/>
  <c r="R40" i="5"/>
  <c r="Q32" i="5"/>
  <c r="R32" i="5"/>
  <c r="Q24" i="5"/>
  <c r="R24" i="5"/>
  <c r="Q16" i="5"/>
  <c r="R16" i="5"/>
  <c r="Q8" i="5"/>
  <c r="R8" i="5"/>
  <c r="G162" i="5"/>
  <c r="K154" i="5"/>
  <c r="N73" i="5"/>
  <c r="N49" i="5"/>
  <c r="N23" i="5"/>
  <c r="J25" i="5"/>
  <c r="K142" i="5"/>
  <c r="K118" i="5"/>
  <c r="K121" i="5"/>
  <c r="J149" i="5"/>
  <c r="N116" i="5"/>
  <c r="N5" i="5"/>
  <c r="N90" i="5"/>
  <c r="M142" i="5"/>
  <c r="M118" i="5"/>
  <c r="M94" i="5"/>
  <c r="M70" i="5"/>
  <c r="M46" i="5"/>
  <c r="M22" i="5"/>
  <c r="J157" i="5"/>
  <c r="J40" i="5"/>
  <c r="J156" i="5"/>
  <c r="J12" i="5"/>
  <c r="K158" i="5"/>
  <c r="M64" i="5"/>
  <c r="M63" i="5"/>
  <c r="M122" i="5"/>
  <c r="J19" i="5"/>
  <c r="M156" i="5"/>
  <c r="N100" i="5"/>
  <c r="M23" i="5"/>
  <c r="N121" i="5"/>
  <c r="J112" i="5"/>
  <c r="J23" i="5"/>
  <c r="J13" i="5"/>
  <c r="N97" i="5"/>
  <c r="N50" i="5"/>
  <c r="K70" i="5"/>
  <c r="K95" i="5"/>
  <c r="N115" i="5"/>
  <c r="K84" i="5"/>
  <c r="J24" i="5"/>
  <c r="J133" i="5"/>
  <c r="K157" i="5"/>
  <c r="K139" i="5"/>
  <c r="J155" i="5"/>
  <c r="K155" i="5"/>
  <c r="J83" i="5"/>
  <c r="K83" i="5"/>
  <c r="K59" i="5"/>
  <c r="N35" i="5"/>
  <c r="J82" i="5"/>
  <c r="J10" i="5"/>
  <c r="N10" i="5"/>
  <c r="N153" i="5"/>
  <c r="K153" i="5"/>
  <c r="K129" i="5"/>
  <c r="M129" i="5"/>
  <c r="N81" i="5"/>
  <c r="M81" i="5"/>
  <c r="K81" i="5"/>
  <c r="J81" i="5"/>
  <c r="M9" i="5"/>
  <c r="K9" i="5"/>
  <c r="N9" i="5"/>
  <c r="N128" i="5"/>
  <c r="K128" i="5"/>
  <c r="M104" i="5"/>
  <c r="N80" i="5"/>
  <c r="M80" i="5"/>
  <c r="K80" i="5"/>
  <c r="J80" i="5"/>
  <c r="M56" i="5"/>
  <c r="J56" i="5"/>
  <c r="N56" i="5"/>
  <c r="K56" i="5"/>
  <c r="M8" i="5"/>
  <c r="N8" i="5"/>
  <c r="K8" i="5"/>
  <c r="M79" i="5"/>
  <c r="N127" i="5"/>
  <c r="K127" i="5"/>
  <c r="M127" i="5"/>
  <c r="J127" i="5"/>
  <c r="K102" i="5"/>
  <c r="N48" i="5"/>
  <c r="M7" i="5"/>
  <c r="J7" i="5"/>
  <c r="N7" i="5"/>
  <c r="K7" i="5"/>
  <c r="N101" i="5"/>
  <c r="J47" i="5"/>
  <c r="K31" i="5"/>
  <c r="N31" i="5"/>
  <c r="M31" i="5"/>
  <c r="J144" i="5"/>
  <c r="N144" i="5"/>
  <c r="N141" i="5"/>
  <c r="K141" i="5"/>
  <c r="J141" i="5"/>
  <c r="K69" i="5"/>
  <c r="N69" i="5"/>
  <c r="K21" i="5"/>
  <c r="N21" i="5"/>
  <c r="J103" i="5"/>
  <c r="M103" i="5"/>
  <c r="K103" i="5"/>
  <c r="N103" i="5"/>
  <c r="K120" i="5"/>
  <c r="N120" i="5"/>
  <c r="M120" i="5"/>
  <c r="J36" i="5"/>
  <c r="M141" i="5"/>
  <c r="N45" i="5"/>
  <c r="J86" i="5"/>
  <c r="N34" i="5"/>
  <c r="K45" i="5"/>
  <c r="M21" i="5"/>
  <c r="N156" i="5"/>
  <c r="J97" i="5"/>
  <c r="J84" i="5"/>
  <c r="K156" i="5"/>
  <c r="K5" i="5"/>
  <c r="N154" i="5"/>
  <c r="M153" i="5"/>
  <c r="J95" i="5"/>
  <c r="J85" i="5"/>
  <c r="M121" i="5"/>
  <c r="K132" i="5"/>
  <c r="J69" i="5"/>
  <c r="M69" i="5"/>
  <c r="M47" i="5"/>
  <c r="J59" i="5"/>
  <c r="T13" i="2"/>
  <c r="T12" i="2"/>
  <c r="K6" i="5"/>
  <c r="M6" i="5"/>
  <c r="K4" i="5"/>
  <c r="N4" i="5"/>
  <c r="M4" i="5"/>
  <c r="L2" i="5"/>
  <c r="D4" i="3" s="1"/>
  <c r="O2" i="5"/>
  <c r="M5" i="5"/>
  <c r="M144" i="5"/>
  <c r="M50" i="5"/>
  <c r="M45" i="5"/>
  <c r="M66" i="5"/>
  <c r="M42" i="5"/>
  <c r="J96" i="5"/>
  <c r="J45" i="5"/>
  <c r="H2" i="5"/>
  <c r="J153" i="5"/>
  <c r="J54" i="5"/>
  <c r="M54" i="5"/>
  <c r="K54" i="5"/>
  <c r="N54" i="5"/>
  <c r="N77" i="5"/>
  <c r="M77" i="5"/>
  <c r="K77" i="5"/>
  <c r="J77" i="5"/>
  <c r="J53" i="5"/>
  <c r="N53" i="5"/>
  <c r="M53" i="5"/>
  <c r="K53" i="5"/>
  <c r="K148" i="5"/>
  <c r="J148" i="5"/>
  <c r="M148" i="5"/>
  <c r="N148" i="5"/>
  <c r="K28" i="5"/>
  <c r="M28" i="5"/>
  <c r="J28" i="5"/>
  <c r="N28" i="5"/>
  <c r="K147" i="5"/>
  <c r="J147" i="5"/>
  <c r="N147" i="5"/>
  <c r="M147" i="5"/>
  <c r="K27" i="5"/>
  <c r="J27" i="5"/>
  <c r="N27" i="5"/>
  <c r="M27" i="5"/>
  <c r="K146" i="5"/>
  <c r="J146" i="5"/>
  <c r="N146" i="5"/>
  <c r="M146" i="5"/>
  <c r="M26" i="5"/>
  <c r="N26" i="5"/>
  <c r="J26" i="5"/>
  <c r="K26" i="5"/>
  <c r="M44" i="5"/>
  <c r="J44" i="5"/>
  <c r="N44" i="5"/>
  <c r="K44" i="5"/>
  <c r="J67" i="5"/>
  <c r="K67" i="5"/>
  <c r="N67" i="5"/>
  <c r="M67" i="5"/>
  <c r="J43" i="5"/>
  <c r="K43" i="5"/>
  <c r="N43" i="5"/>
  <c r="M43" i="5"/>
  <c r="N162" i="5"/>
  <c r="J162" i="5"/>
  <c r="K162" i="5"/>
  <c r="M162" i="5"/>
  <c r="M113" i="5"/>
  <c r="N113" i="5"/>
  <c r="K113" i="5"/>
  <c r="J113" i="5"/>
  <c r="M114" i="5"/>
  <c r="K114" i="5"/>
  <c r="N114" i="5"/>
  <c r="J114" i="5"/>
  <c r="M62" i="5"/>
  <c r="N62" i="5"/>
  <c r="K62" i="5"/>
  <c r="J62" i="5"/>
  <c r="N161" i="5"/>
  <c r="K161" i="5"/>
  <c r="J161" i="5"/>
  <c r="M161" i="5"/>
  <c r="N160" i="5"/>
  <c r="M160" i="5"/>
  <c r="K160" i="5"/>
  <c r="J160" i="5"/>
  <c r="J159" i="5"/>
  <c r="N159" i="5"/>
  <c r="M159" i="5"/>
  <c r="K159" i="5"/>
  <c r="M38" i="5"/>
  <c r="N38" i="5"/>
  <c r="J38" i="5"/>
  <c r="K38" i="5"/>
  <c r="M58" i="5"/>
  <c r="N58" i="5"/>
  <c r="K116" i="5"/>
  <c r="K20" i="5"/>
  <c r="J20" i="5"/>
  <c r="M138" i="5"/>
  <c r="K138" i="5"/>
  <c r="J101" i="5"/>
  <c r="M101" i="5"/>
  <c r="M57" i="5"/>
  <c r="N57" i="5"/>
  <c r="J57" i="5"/>
  <c r="M14" i="5"/>
  <c r="J14" i="5"/>
  <c r="N14" i="5"/>
  <c r="K14" i="5"/>
  <c r="K115" i="5"/>
  <c r="M99" i="5"/>
  <c r="N99" i="5"/>
  <c r="N119" i="5"/>
  <c r="K119" i="5"/>
  <c r="J119" i="5"/>
  <c r="M119" i="5"/>
  <c r="K76" i="5"/>
  <c r="J76" i="5"/>
  <c r="N76" i="5"/>
  <c r="M76" i="5"/>
  <c r="J115" i="5"/>
  <c r="K150" i="5"/>
  <c r="N150" i="5"/>
  <c r="N126" i="5"/>
  <c r="J126" i="5"/>
  <c r="N78" i="5"/>
  <c r="J78" i="5"/>
  <c r="M78" i="5"/>
  <c r="K78" i="5"/>
  <c r="M30" i="5"/>
  <c r="N30" i="5"/>
  <c r="K30" i="5"/>
  <c r="J117" i="5"/>
  <c r="M117" i="5"/>
  <c r="K75" i="5"/>
  <c r="J75" i="5"/>
  <c r="M75" i="5"/>
  <c r="N33" i="5"/>
  <c r="M33" i="5"/>
  <c r="J33" i="5"/>
  <c r="K33" i="5"/>
  <c r="K137" i="5"/>
  <c r="M126" i="5"/>
  <c r="K149" i="5"/>
  <c r="N149" i="5"/>
  <c r="M125" i="5"/>
  <c r="N125" i="5"/>
  <c r="J125" i="5"/>
  <c r="K29" i="5"/>
  <c r="M29" i="5"/>
  <c r="J29" i="5"/>
  <c r="N29" i="5"/>
  <c r="K152" i="5"/>
  <c r="M152" i="5"/>
  <c r="N152" i="5"/>
  <c r="M74" i="5"/>
  <c r="K74" i="5"/>
  <c r="J74" i="5"/>
  <c r="J58" i="5"/>
  <c r="K135" i="5"/>
  <c r="K124" i="5"/>
  <c r="M124" i="5"/>
  <c r="N124" i="5"/>
  <c r="J124" i="5"/>
  <c r="K100" i="5"/>
  <c r="J100" i="5"/>
  <c r="M100" i="5"/>
  <c r="K52" i="5"/>
  <c r="N52" i="5"/>
  <c r="M52" i="5"/>
  <c r="J52" i="5"/>
  <c r="M151" i="5"/>
  <c r="K151" i="5"/>
  <c r="N151" i="5"/>
  <c r="K72" i="5"/>
  <c r="J72" i="5"/>
  <c r="M72" i="5"/>
  <c r="K123" i="5"/>
  <c r="M123" i="5"/>
  <c r="N123" i="5"/>
  <c r="N51" i="5"/>
  <c r="M51" i="5"/>
  <c r="N71" i="5"/>
  <c r="K71" i="5"/>
  <c r="M71" i="5"/>
  <c r="J51" i="5"/>
  <c r="K65" i="5"/>
  <c r="N117" i="5"/>
  <c r="K122" i="5"/>
  <c r="N122" i="5"/>
  <c r="M98" i="5"/>
  <c r="K98" i="5"/>
  <c r="N98" i="5"/>
  <c r="N107" i="5"/>
  <c r="K107" i="5"/>
  <c r="J107" i="5"/>
  <c r="J50" i="5"/>
  <c r="K64" i="5"/>
  <c r="K49" i="5"/>
  <c r="M49" i="5"/>
  <c r="N106" i="5"/>
  <c r="J106" i="5"/>
  <c r="K106" i="5"/>
  <c r="J102" i="5"/>
  <c r="J49" i="5"/>
  <c r="K126" i="5"/>
  <c r="K63" i="5"/>
  <c r="M115" i="5"/>
  <c r="N145" i="5"/>
  <c r="J145" i="5"/>
  <c r="N105" i="5"/>
  <c r="K105" i="5"/>
  <c r="J105" i="5"/>
  <c r="N25" i="5"/>
  <c r="M25" i="5"/>
  <c r="J152" i="5"/>
  <c r="J99" i="5"/>
  <c r="K125" i="5"/>
  <c r="M107" i="5"/>
  <c r="M41" i="5"/>
  <c r="N95" i="5"/>
  <c r="M95" i="5"/>
  <c r="J104" i="5"/>
  <c r="K104" i="5"/>
  <c r="N104" i="5"/>
  <c r="N24" i="5"/>
  <c r="M24" i="5"/>
  <c r="J151" i="5"/>
  <c r="J98" i="5"/>
  <c r="K58" i="5"/>
  <c r="M106" i="5"/>
  <c r="M40" i="5"/>
  <c r="N20" i="5"/>
  <c r="J150" i="5"/>
  <c r="J41" i="5"/>
  <c r="K117" i="5"/>
  <c r="K57" i="5"/>
  <c r="M105" i="5"/>
  <c r="N102" i="5"/>
  <c r="N19" i="5"/>
  <c r="N11" i="5"/>
  <c r="M11" i="5"/>
  <c r="K11" i="5"/>
  <c r="J68" i="5"/>
  <c r="K68" i="5"/>
  <c r="N66" i="5"/>
  <c r="K66" i="5"/>
  <c r="J66" i="5"/>
  <c r="J92" i="5"/>
  <c r="M92" i="5"/>
  <c r="N92" i="5"/>
  <c r="K92" i="5"/>
  <c r="J42" i="5"/>
  <c r="K42" i="5"/>
  <c r="N42" i="5"/>
  <c r="J116" i="5"/>
  <c r="M116" i="5"/>
  <c r="M18" i="5"/>
  <c r="J18" i="5"/>
  <c r="N18" i="5"/>
  <c r="M55" i="5"/>
  <c r="J55" i="5"/>
  <c r="K55" i="5"/>
  <c r="M134" i="5"/>
  <c r="N134" i="5"/>
  <c r="K134" i="5"/>
  <c r="J134" i="5"/>
  <c r="J88" i="5"/>
  <c r="N88" i="5"/>
  <c r="K88" i="5"/>
  <c r="M85" i="5"/>
  <c r="N85" i="5"/>
  <c r="K40" i="5"/>
  <c r="M110" i="5"/>
  <c r="J110" i="5"/>
  <c r="N110" i="5"/>
  <c r="N131" i="5"/>
  <c r="J131" i="5"/>
  <c r="M131" i="5"/>
  <c r="K131" i="5"/>
  <c r="N47" i="5"/>
  <c r="K47" i="5"/>
  <c r="M157" i="5"/>
  <c r="N157" i="5"/>
  <c r="M109" i="5"/>
  <c r="K109" i="5"/>
  <c r="N109" i="5"/>
  <c r="J130" i="5"/>
  <c r="N130" i="5"/>
  <c r="M130" i="5"/>
  <c r="K130" i="5"/>
  <c r="N72" i="5"/>
  <c r="M82" i="5"/>
  <c r="N82" i="5"/>
  <c r="J71" i="5"/>
  <c r="K87" i="5"/>
  <c r="M145" i="5"/>
  <c r="M139" i="5"/>
  <c r="J139" i="5"/>
  <c r="M137" i="5"/>
  <c r="N137" i="5"/>
  <c r="J140" i="5"/>
  <c r="M140" i="5"/>
  <c r="M102" i="5"/>
  <c r="J138" i="5"/>
  <c r="M17" i="5"/>
  <c r="J17" i="5"/>
  <c r="N17" i="5"/>
  <c r="K17" i="5"/>
  <c r="M150" i="5"/>
  <c r="M86" i="5"/>
  <c r="K86" i="5"/>
  <c r="N86" i="5"/>
  <c r="M149" i="5"/>
  <c r="N39" i="5"/>
  <c r="J39" i="5"/>
  <c r="M39" i="5"/>
  <c r="J123" i="5"/>
  <c r="K25" i="5"/>
  <c r="K24" i="5"/>
  <c r="N140" i="5"/>
  <c r="K90" i="5"/>
  <c r="M90" i="5"/>
  <c r="J90" i="5"/>
  <c r="N93" i="5"/>
  <c r="M93" i="5"/>
  <c r="K93" i="5"/>
  <c r="J93" i="5"/>
  <c r="J89" i="5"/>
  <c r="K89" i="5"/>
  <c r="M89" i="5"/>
  <c r="K41" i="5"/>
  <c r="M88" i="5"/>
  <c r="M111" i="5"/>
  <c r="K111" i="5"/>
  <c r="J111" i="5"/>
  <c r="N111" i="5"/>
  <c r="K48" i="5"/>
  <c r="J48" i="5"/>
  <c r="M48" i="5"/>
  <c r="M158" i="5"/>
  <c r="J158" i="5"/>
  <c r="N158" i="5"/>
  <c r="M84" i="5"/>
  <c r="N84" i="5"/>
  <c r="K85" i="5"/>
  <c r="N68" i="5"/>
  <c r="J154" i="5"/>
  <c r="M154" i="5"/>
  <c r="J34" i="5"/>
  <c r="M34" i="5"/>
  <c r="M37" i="5"/>
  <c r="N37" i="5"/>
  <c r="J37" i="5"/>
  <c r="K37" i="5"/>
  <c r="J121" i="5"/>
  <c r="J64" i="5"/>
  <c r="J9" i="5"/>
  <c r="K23" i="5"/>
  <c r="M135" i="5"/>
  <c r="M68" i="5"/>
  <c r="N139" i="5"/>
  <c r="N55" i="5"/>
  <c r="N91" i="5"/>
  <c r="K91" i="5"/>
  <c r="M91" i="5"/>
  <c r="J91" i="5"/>
  <c r="K136" i="5"/>
  <c r="M136" i="5"/>
  <c r="N136" i="5"/>
  <c r="K10" i="5"/>
  <c r="M10" i="5"/>
  <c r="M65" i="5"/>
  <c r="N65" i="5"/>
  <c r="N87" i="5"/>
  <c r="J87" i="5"/>
  <c r="M20" i="5"/>
  <c r="N89" i="5"/>
  <c r="M112" i="5"/>
  <c r="N112" i="5"/>
  <c r="K112" i="5"/>
  <c r="K16" i="5"/>
  <c r="M16" i="5"/>
  <c r="J16" i="5"/>
  <c r="N16" i="5"/>
  <c r="M133" i="5"/>
  <c r="N133" i="5"/>
  <c r="K133" i="5"/>
  <c r="K101" i="5"/>
  <c r="M19" i="5"/>
  <c r="N75" i="5"/>
  <c r="J15" i="5"/>
  <c r="M15" i="5"/>
  <c r="N15" i="5"/>
  <c r="K15" i="5"/>
  <c r="M132" i="5"/>
  <c r="N132" i="5"/>
  <c r="J135" i="5"/>
  <c r="K99" i="5"/>
  <c r="N74" i="5"/>
  <c r="M61" i="5"/>
  <c r="K61" i="5"/>
  <c r="N61" i="5"/>
  <c r="J61" i="5"/>
  <c r="J11" i="5"/>
  <c r="K145" i="5"/>
  <c r="J122" i="5"/>
  <c r="K36" i="5"/>
  <c r="N36" i="5"/>
  <c r="M36" i="5"/>
  <c r="J120" i="5"/>
  <c r="J63" i="5"/>
  <c r="J8" i="5"/>
  <c r="K140" i="5"/>
  <c r="K82" i="5"/>
  <c r="K19" i="5"/>
  <c r="N138" i="5"/>
  <c r="K73" i="5"/>
  <c r="J73" i="5"/>
  <c r="J21" i="5"/>
  <c r="K96" i="5"/>
  <c r="N96" i="5"/>
  <c r="M96" i="5"/>
  <c r="N143" i="5"/>
  <c r="J143" i="5"/>
  <c r="M143" i="5"/>
  <c r="N79" i="5"/>
  <c r="J79" i="5"/>
  <c r="K79" i="5"/>
  <c r="M73" i="5"/>
  <c r="M35" i="5"/>
  <c r="N108" i="5"/>
  <c r="K108" i="5"/>
  <c r="M108" i="5"/>
  <c r="M13" i="5"/>
  <c r="N13" i="5"/>
  <c r="J129" i="5"/>
  <c r="N129" i="5"/>
  <c r="N12" i="5"/>
  <c r="K12" i="5"/>
  <c r="M12" i="5"/>
  <c r="J128" i="5"/>
  <c r="M128" i="5"/>
  <c r="K35" i="5"/>
  <c r="M97" i="5"/>
  <c r="J35" i="5"/>
  <c r="N60" i="5"/>
  <c r="M60" i="5"/>
  <c r="K60" i="5"/>
  <c r="J60" i="5"/>
  <c r="K143" i="5"/>
  <c r="N155" i="5"/>
  <c r="M155" i="5"/>
  <c r="N32" i="5"/>
  <c r="M32" i="5"/>
  <c r="J32" i="5"/>
  <c r="K32" i="5"/>
  <c r="K144" i="5"/>
  <c r="N59" i="5"/>
  <c r="M59" i="5"/>
  <c r="J31" i="5"/>
  <c r="N142" i="5"/>
  <c r="J142" i="5"/>
  <c r="N118" i="5"/>
  <c r="J118" i="5"/>
  <c r="N94" i="5"/>
  <c r="J94" i="5"/>
  <c r="N70" i="5"/>
  <c r="J70" i="5"/>
  <c r="N46" i="5"/>
  <c r="J46" i="5"/>
  <c r="K46" i="5"/>
  <c r="N22" i="5"/>
  <c r="J22" i="5"/>
  <c r="K22" i="5"/>
  <c r="N83" i="5"/>
  <c r="M83" i="5"/>
  <c r="J5" i="5"/>
  <c r="N6" i="5"/>
  <c r="J4" i="5"/>
  <c r="R162" i="5" l="1"/>
  <c r="Q162" i="5"/>
  <c r="E5" i="3"/>
  <c r="E5" i="7" s="1"/>
  <c r="C4" i="3"/>
  <c r="C4" i="7" s="1"/>
  <c r="C5" i="3"/>
  <c r="C5" i="7" s="1"/>
  <c r="C6" i="3"/>
  <c r="C6" i="7" s="1"/>
  <c r="D16" i="3"/>
  <c r="D16" i="7" s="1"/>
  <c r="D40" i="3"/>
  <c r="D40" i="7" s="1"/>
  <c r="D64" i="3"/>
  <c r="D64" i="7" s="1"/>
  <c r="D88" i="3"/>
  <c r="D88" i="7" s="1"/>
  <c r="D112" i="3"/>
  <c r="D112" i="7" s="1"/>
  <c r="D136" i="3"/>
  <c r="D136" i="7" s="1"/>
  <c r="D160" i="3"/>
  <c r="D160" i="7" s="1"/>
  <c r="D184" i="3"/>
  <c r="D208" i="3"/>
  <c r="D17" i="3"/>
  <c r="D17" i="7" s="1"/>
  <c r="D41" i="3"/>
  <c r="D41" i="7" s="1"/>
  <c r="D65" i="3"/>
  <c r="D65" i="7" s="1"/>
  <c r="D89" i="3"/>
  <c r="D89" i="7" s="1"/>
  <c r="D113" i="3"/>
  <c r="D113" i="7" s="1"/>
  <c r="D137" i="3"/>
  <c r="D137" i="7" s="1"/>
  <c r="D161" i="3"/>
  <c r="D161" i="7" s="1"/>
  <c r="D185" i="3"/>
  <c r="D209" i="3"/>
  <c r="D18" i="3"/>
  <c r="D18" i="7" s="1"/>
  <c r="D42" i="3"/>
  <c r="D42" i="7" s="1"/>
  <c r="D66" i="3"/>
  <c r="D66" i="7" s="1"/>
  <c r="D90" i="3"/>
  <c r="D90" i="7" s="1"/>
  <c r="D114" i="3"/>
  <c r="D114" i="7" s="1"/>
  <c r="D138" i="3"/>
  <c r="D138" i="7" s="1"/>
  <c r="D162" i="3"/>
  <c r="D162" i="7" s="1"/>
  <c r="D186" i="3"/>
  <c r="D210" i="3"/>
  <c r="D28" i="3"/>
  <c r="D28" i="7" s="1"/>
  <c r="D52" i="3"/>
  <c r="D52" i="7" s="1"/>
  <c r="D76" i="3"/>
  <c r="D76" i="7" s="1"/>
  <c r="D100" i="3"/>
  <c r="D100" i="7" s="1"/>
  <c r="D124" i="3"/>
  <c r="D124" i="7" s="1"/>
  <c r="D148" i="3"/>
  <c r="D148" i="7" s="1"/>
  <c r="D172" i="3"/>
  <c r="D196" i="3"/>
  <c r="D220" i="3"/>
  <c r="D23" i="3"/>
  <c r="D23" i="7" s="1"/>
  <c r="D51" i="3"/>
  <c r="D51" i="7" s="1"/>
  <c r="D80" i="3"/>
  <c r="D80" i="7" s="1"/>
  <c r="D108" i="3"/>
  <c r="D108" i="7" s="1"/>
  <c r="D139" i="3"/>
  <c r="D139" i="7" s="1"/>
  <c r="D167" i="3"/>
  <c r="D195" i="3"/>
  <c r="D224" i="3"/>
  <c r="D26" i="3"/>
  <c r="D26" i="7" s="1"/>
  <c r="D227" i="3"/>
  <c r="D24" i="3"/>
  <c r="D24" i="7" s="1"/>
  <c r="D53" i="3"/>
  <c r="D53" i="7" s="1"/>
  <c r="D81" i="3"/>
  <c r="D81" i="7" s="1"/>
  <c r="D109" i="3"/>
  <c r="D109" i="7" s="1"/>
  <c r="D140" i="3"/>
  <c r="D140" i="7" s="1"/>
  <c r="D168" i="3"/>
  <c r="D197" i="3"/>
  <c r="D225" i="3"/>
  <c r="D25" i="3"/>
  <c r="D25" i="7" s="1"/>
  <c r="D54" i="3"/>
  <c r="D54" i="7" s="1"/>
  <c r="D82" i="3"/>
  <c r="D82" i="7" s="1"/>
  <c r="D110" i="3"/>
  <c r="D110" i="7" s="1"/>
  <c r="D141" i="3"/>
  <c r="D141" i="7" s="1"/>
  <c r="D169" i="3"/>
  <c r="D198" i="3"/>
  <c r="D226" i="3"/>
  <c r="D55" i="3"/>
  <c r="D55" i="7" s="1"/>
  <c r="D83" i="3"/>
  <c r="D83" i="7" s="1"/>
  <c r="D111" i="3"/>
  <c r="D111" i="7" s="1"/>
  <c r="D142" i="3"/>
  <c r="D142" i="7" s="1"/>
  <c r="D170" i="3"/>
  <c r="D199" i="3"/>
  <c r="D8" i="3"/>
  <c r="D8" i="7" s="1"/>
  <c r="D36" i="3"/>
  <c r="D36" i="7" s="1"/>
  <c r="D67" i="3"/>
  <c r="D67" i="7" s="1"/>
  <c r="D95" i="3"/>
  <c r="D95" i="7" s="1"/>
  <c r="D123" i="3"/>
  <c r="D123" i="7" s="1"/>
  <c r="D152" i="3"/>
  <c r="D152" i="7" s="1"/>
  <c r="D180" i="3"/>
  <c r="D211" i="3"/>
  <c r="D9" i="3"/>
  <c r="D9" i="7" s="1"/>
  <c r="D37" i="3"/>
  <c r="D37" i="7" s="1"/>
  <c r="D68" i="3"/>
  <c r="D68" i="7" s="1"/>
  <c r="D96" i="3"/>
  <c r="D96" i="7" s="1"/>
  <c r="D125" i="3"/>
  <c r="D125" i="7" s="1"/>
  <c r="D153" i="3"/>
  <c r="D153" i="7" s="1"/>
  <c r="D181" i="3"/>
  <c r="D212" i="3"/>
  <c r="D10" i="3"/>
  <c r="D10" i="7" s="1"/>
  <c r="D38" i="3"/>
  <c r="D38" i="7" s="1"/>
  <c r="D69" i="3"/>
  <c r="D69" i="7" s="1"/>
  <c r="D97" i="3"/>
  <c r="D97" i="7" s="1"/>
  <c r="D21" i="3"/>
  <c r="D21" i="7" s="1"/>
  <c r="D61" i="3"/>
  <c r="D61" i="7" s="1"/>
  <c r="D103" i="3"/>
  <c r="D103" i="7" s="1"/>
  <c r="D144" i="3"/>
  <c r="D144" i="7" s="1"/>
  <c r="D179" i="3"/>
  <c r="D218" i="3"/>
  <c r="D22" i="3"/>
  <c r="D22" i="7" s="1"/>
  <c r="D62" i="3"/>
  <c r="D62" i="7" s="1"/>
  <c r="D104" i="3"/>
  <c r="D104" i="7" s="1"/>
  <c r="D145" i="3"/>
  <c r="D145" i="7" s="1"/>
  <c r="D182" i="3"/>
  <c r="D219" i="3"/>
  <c r="D70" i="3"/>
  <c r="D70" i="7" s="1"/>
  <c r="D106" i="3"/>
  <c r="D106" i="7" s="1"/>
  <c r="D147" i="3"/>
  <c r="D147" i="7" s="1"/>
  <c r="D187" i="3"/>
  <c r="D27" i="3"/>
  <c r="D27" i="7" s="1"/>
  <c r="D63" i="3"/>
  <c r="D63" i="7" s="1"/>
  <c r="D105" i="3"/>
  <c r="D105" i="7" s="1"/>
  <c r="D146" i="3"/>
  <c r="D146" i="7" s="1"/>
  <c r="D183" i="3"/>
  <c r="D221" i="3"/>
  <c r="D29" i="3"/>
  <c r="D29" i="7" s="1"/>
  <c r="D222" i="3"/>
  <c r="D44" i="3"/>
  <c r="D44" i="7" s="1"/>
  <c r="D84" i="3"/>
  <c r="D84" i="7" s="1"/>
  <c r="D122" i="3"/>
  <c r="D122" i="7" s="1"/>
  <c r="D159" i="3"/>
  <c r="D159" i="7" s="1"/>
  <c r="D201" i="3"/>
  <c r="D45" i="3"/>
  <c r="D45" i="7" s="1"/>
  <c r="D85" i="3"/>
  <c r="D85" i="7" s="1"/>
  <c r="D126" i="3"/>
  <c r="D126" i="7" s="1"/>
  <c r="D163" i="3"/>
  <c r="D202" i="3"/>
  <c r="D5" i="3"/>
  <c r="D5" i="7" s="1"/>
  <c r="D46" i="3"/>
  <c r="D46" i="7" s="1"/>
  <c r="D86" i="3"/>
  <c r="D86" i="7" s="1"/>
  <c r="D127" i="3"/>
  <c r="D127" i="7" s="1"/>
  <c r="D164" i="3"/>
  <c r="D203" i="3"/>
  <c r="D39" i="3"/>
  <c r="D39" i="7" s="1"/>
  <c r="D98" i="3"/>
  <c r="D98" i="7" s="1"/>
  <c r="D154" i="3"/>
  <c r="D154" i="7" s="1"/>
  <c r="D206" i="3"/>
  <c r="D48" i="3"/>
  <c r="D48" i="7" s="1"/>
  <c r="D49" i="3"/>
  <c r="D49" i="7" s="1"/>
  <c r="D158" i="3"/>
  <c r="D158" i="7" s="1"/>
  <c r="D50" i="3"/>
  <c r="D50" i="7" s="1"/>
  <c r="D165" i="3"/>
  <c r="D171" i="3"/>
  <c r="D118" i="3"/>
  <c r="D118" i="7" s="1"/>
  <c r="D173" i="3"/>
  <c r="D119" i="3"/>
  <c r="D119" i="7" s="1"/>
  <c r="D43" i="3"/>
  <c r="D43" i="7" s="1"/>
  <c r="D99" i="3"/>
  <c r="D99" i="7" s="1"/>
  <c r="D155" i="3"/>
  <c r="D155" i="7" s="1"/>
  <c r="D207" i="3"/>
  <c r="D102" i="3"/>
  <c r="D102" i="7" s="1"/>
  <c r="D214" i="3"/>
  <c r="D107" i="3"/>
  <c r="D107" i="7" s="1"/>
  <c r="D215" i="3"/>
  <c r="D115" i="3"/>
  <c r="D115" i="7" s="1"/>
  <c r="D216" i="3"/>
  <c r="D56" i="3"/>
  <c r="D56" i="7" s="1"/>
  <c r="D116" i="3"/>
  <c r="D116" i="7" s="1"/>
  <c r="D166" i="3"/>
  <c r="D217" i="3"/>
  <c r="D57" i="3"/>
  <c r="D57" i="7" s="1"/>
  <c r="D117" i="3"/>
  <c r="D117" i="7" s="1"/>
  <c r="D223" i="3"/>
  <c r="D58" i="3"/>
  <c r="D58" i="7" s="1"/>
  <c r="D228" i="3"/>
  <c r="D59" i="3"/>
  <c r="D59" i="7" s="1"/>
  <c r="D174" i="3"/>
  <c r="D229" i="3"/>
  <c r="D47" i="3"/>
  <c r="D47" i="7" s="1"/>
  <c r="D101" i="3"/>
  <c r="D101" i="7" s="1"/>
  <c r="D156" i="3"/>
  <c r="D156" i="7" s="1"/>
  <c r="D213" i="3"/>
  <c r="D157" i="3"/>
  <c r="D157" i="7" s="1"/>
  <c r="D12" i="3"/>
  <c r="D12" i="7" s="1"/>
  <c r="D72" i="3"/>
  <c r="D72" i="7" s="1"/>
  <c r="D128" i="3"/>
  <c r="D128" i="7" s="1"/>
  <c r="D177" i="3"/>
  <c r="D13" i="3"/>
  <c r="D13" i="7" s="1"/>
  <c r="D73" i="3"/>
  <c r="D73" i="7" s="1"/>
  <c r="D129" i="3"/>
  <c r="D129" i="7" s="1"/>
  <c r="D178" i="3"/>
  <c r="D14" i="3"/>
  <c r="D14" i="7" s="1"/>
  <c r="D74" i="3"/>
  <c r="D74" i="7" s="1"/>
  <c r="D130" i="3"/>
  <c r="D130" i="7" s="1"/>
  <c r="D188" i="3"/>
  <c r="D15" i="3"/>
  <c r="D15" i="7" s="1"/>
  <c r="D75" i="3"/>
  <c r="D75" i="7" s="1"/>
  <c r="D131" i="3"/>
  <c r="D131" i="7" s="1"/>
  <c r="D189" i="3"/>
  <c r="D19" i="3"/>
  <c r="D19" i="7" s="1"/>
  <c r="D77" i="3"/>
  <c r="D77" i="7" s="1"/>
  <c r="D132" i="3"/>
  <c r="D132" i="7" s="1"/>
  <c r="D190" i="3"/>
  <c r="D20" i="3"/>
  <c r="D20" i="7" s="1"/>
  <c r="D78" i="3"/>
  <c r="D78" i="7" s="1"/>
  <c r="D133" i="3"/>
  <c r="D133" i="7" s="1"/>
  <c r="D191" i="3"/>
  <c r="D30" i="3"/>
  <c r="D30" i="7" s="1"/>
  <c r="D79" i="3"/>
  <c r="D79" i="7" s="1"/>
  <c r="D134" i="3"/>
  <c r="D134" i="7" s="1"/>
  <c r="D192" i="3"/>
  <c r="D31" i="3"/>
  <c r="D31" i="7" s="1"/>
  <c r="D87" i="3"/>
  <c r="D87" i="7" s="1"/>
  <c r="D135" i="3"/>
  <c r="D135" i="7" s="1"/>
  <c r="D193" i="3"/>
  <c r="D32" i="3"/>
  <c r="D32" i="7" s="1"/>
  <c r="D91" i="3"/>
  <c r="D91" i="7" s="1"/>
  <c r="D143" i="3"/>
  <c r="D143" i="7" s="1"/>
  <c r="D194" i="3"/>
  <c r="D71" i="3"/>
  <c r="D71" i="7" s="1"/>
  <c r="D121" i="3"/>
  <c r="D121" i="7" s="1"/>
  <c r="D149" i="3"/>
  <c r="D149" i="7" s="1"/>
  <c r="D150" i="3"/>
  <c r="D150" i="7" s="1"/>
  <c r="D151" i="3"/>
  <c r="D151" i="7" s="1"/>
  <c r="D175" i="3"/>
  <c r="D60" i="3"/>
  <c r="D60" i="7" s="1"/>
  <c r="D92" i="3"/>
  <c r="D92" i="7" s="1"/>
  <c r="D120" i="3"/>
  <c r="D120" i="7" s="1"/>
  <c r="D176" i="3"/>
  <c r="D200" i="3"/>
  <c r="D93" i="3"/>
  <c r="D93" i="7" s="1"/>
  <c r="D94" i="3"/>
  <c r="D94" i="7" s="1"/>
  <c r="D35" i="3"/>
  <c r="D35" i="7" s="1"/>
  <c r="D204" i="3"/>
  <c r="D205" i="3"/>
  <c r="D230" i="3"/>
  <c r="D4" i="7"/>
  <c r="D7" i="3"/>
  <c r="D7" i="7" s="1"/>
  <c r="D11" i="3"/>
  <c r="D11" i="7" s="1"/>
  <c r="D33" i="3"/>
  <c r="D33" i="7" s="1"/>
  <c r="D34" i="3"/>
  <c r="D34" i="7" s="1"/>
  <c r="E6" i="3"/>
  <c r="E6" i="7" s="1"/>
  <c r="E4" i="3"/>
  <c r="E4" i="7" s="1"/>
  <c r="D6" i="3"/>
  <c r="D6" i="7" s="1"/>
  <c r="C28" i="3"/>
  <c r="C28" i="7" s="1"/>
  <c r="C52" i="3"/>
  <c r="C52" i="7" s="1"/>
  <c r="C76" i="3"/>
  <c r="C76" i="7" s="1"/>
  <c r="C100" i="3"/>
  <c r="C100" i="7" s="1"/>
  <c r="C124" i="3"/>
  <c r="C124" i="7" s="1"/>
  <c r="C148" i="3"/>
  <c r="C148" i="7" s="1"/>
  <c r="C172" i="3"/>
  <c r="C196" i="3"/>
  <c r="C220" i="3"/>
  <c r="C29" i="3"/>
  <c r="C29" i="7" s="1"/>
  <c r="C53" i="3"/>
  <c r="C53" i="7" s="1"/>
  <c r="C77" i="3"/>
  <c r="C77" i="7" s="1"/>
  <c r="C101" i="3"/>
  <c r="C101" i="7" s="1"/>
  <c r="C125" i="3"/>
  <c r="C125" i="7" s="1"/>
  <c r="C149" i="3"/>
  <c r="C149" i="7" s="1"/>
  <c r="C173" i="3"/>
  <c r="C197" i="3"/>
  <c r="C221" i="3"/>
  <c r="C30" i="3"/>
  <c r="C30" i="7" s="1"/>
  <c r="C54" i="3"/>
  <c r="C54" i="7" s="1"/>
  <c r="C78" i="3"/>
  <c r="C78" i="7" s="1"/>
  <c r="C102" i="3"/>
  <c r="C102" i="7" s="1"/>
  <c r="C126" i="3"/>
  <c r="C126" i="7" s="1"/>
  <c r="C150" i="3"/>
  <c r="C150" i="7" s="1"/>
  <c r="C174" i="3"/>
  <c r="C198" i="3"/>
  <c r="C222" i="3"/>
  <c r="C16" i="3"/>
  <c r="C16" i="7" s="1"/>
  <c r="C40" i="3"/>
  <c r="C40" i="7" s="1"/>
  <c r="C64" i="3"/>
  <c r="C64" i="7" s="1"/>
  <c r="C88" i="3"/>
  <c r="C88" i="7" s="1"/>
  <c r="C112" i="3"/>
  <c r="C112" i="7" s="1"/>
  <c r="C136" i="3"/>
  <c r="C136" i="7" s="1"/>
  <c r="C160" i="3"/>
  <c r="C160" i="7" s="1"/>
  <c r="C184" i="3"/>
  <c r="C208" i="3"/>
  <c r="C24" i="3"/>
  <c r="C24" i="7" s="1"/>
  <c r="C55" i="3"/>
  <c r="C55" i="7" s="1"/>
  <c r="C83" i="3"/>
  <c r="C83" i="7" s="1"/>
  <c r="C111" i="3"/>
  <c r="C111" i="7" s="1"/>
  <c r="C140" i="3"/>
  <c r="C140" i="7" s="1"/>
  <c r="C168" i="3"/>
  <c r="C199" i="3"/>
  <c r="C227" i="3"/>
  <c r="C58" i="3"/>
  <c r="C58" i="7" s="1"/>
  <c r="C115" i="3"/>
  <c r="C115" i="7" s="1"/>
  <c r="C171" i="3"/>
  <c r="C230" i="3"/>
  <c r="C25" i="3"/>
  <c r="C25" i="7" s="1"/>
  <c r="C56" i="3"/>
  <c r="C56" i="7" s="1"/>
  <c r="C84" i="3"/>
  <c r="C84" i="7" s="1"/>
  <c r="C113" i="3"/>
  <c r="C113" i="7" s="1"/>
  <c r="C141" i="3"/>
  <c r="C141" i="7" s="1"/>
  <c r="C169" i="3"/>
  <c r="C200" i="3"/>
  <c r="C228" i="3"/>
  <c r="C26" i="3"/>
  <c r="C26" i="7" s="1"/>
  <c r="C57" i="3"/>
  <c r="C57" i="7" s="1"/>
  <c r="C85" i="3"/>
  <c r="C85" i="7" s="1"/>
  <c r="C114" i="3"/>
  <c r="C114" i="7" s="1"/>
  <c r="C142" i="3"/>
  <c r="C142" i="7" s="1"/>
  <c r="C170" i="3"/>
  <c r="C201" i="3"/>
  <c r="C229" i="3"/>
  <c r="C27" i="3"/>
  <c r="C27" i="7" s="1"/>
  <c r="C86" i="3"/>
  <c r="C86" i="7" s="1"/>
  <c r="C143" i="3"/>
  <c r="C143" i="7" s="1"/>
  <c r="C202" i="3"/>
  <c r="C11" i="3"/>
  <c r="C11" i="7" s="1"/>
  <c r="C39" i="3"/>
  <c r="C39" i="7" s="1"/>
  <c r="C68" i="3"/>
  <c r="C68" i="7" s="1"/>
  <c r="C96" i="3"/>
  <c r="C96" i="7" s="1"/>
  <c r="C127" i="3"/>
  <c r="C127" i="7" s="1"/>
  <c r="C155" i="3"/>
  <c r="C155" i="7" s="1"/>
  <c r="C183" i="3"/>
  <c r="C212" i="3"/>
  <c r="C12" i="3"/>
  <c r="C12" i="7" s="1"/>
  <c r="C41" i="3"/>
  <c r="C41" i="7" s="1"/>
  <c r="C69" i="3"/>
  <c r="C69" i="7" s="1"/>
  <c r="C97" i="3"/>
  <c r="C97" i="7" s="1"/>
  <c r="C128" i="3"/>
  <c r="C128" i="7" s="1"/>
  <c r="C156" i="3"/>
  <c r="C156" i="7" s="1"/>
  <c r="C185" i="3"/>
  <c r="C213" i="3"/>
  <c r="C32" i="3"/>
  <c r="C32" i="7" s="1"/>
  <c r="C67" i="3"/>
  <c r="C67" i="7" s="1"/>
  <c r="C106" i="3"/>
  <c r="C106" i="7" s="1"/>
  <c r="C145" i="3"/>
  <c r="C145" i="7" s="1"/>
  <c r="C182" i="3"/>
  <c r="C219" i="3"/>
  <c r="C33" i="3"/>
  <c r="C33" i="7" s="1"/>
  <c r="C70" i="3"/>
  <c r="C70" i="7" s="1"/>
  <c r="C107" i="3"/>
  <c r="C107" i="7" s="1"/>
  <c r="C146" i="3"/>
  <c r="C146" i="7" s="1"/>
  <c r="C186" i="3"/>
  <c r="C223" i="3"/>
  <c r="C35" i="3"/>
  <c r="C35" i="7" s="1"/>
  <c r="C72" i="3"/>
  <c r="C72" i="7" s="1"/>
  <c r="C109" i="3"/>
  <c r="C109" i="7" s="1"/>
  <c r="C151" i="3"/>
  <c r="C151" i="7" s="1"/>
  <c r="C188" i="3"/>
  <c r="C225" i="3"/>
  <c r="C34" i="3"/>
  <c r="C34" i="7" s="1"/>
  <c r="C71" i="3"/>
  <c r="C71" i="7" s="1"/>
  <c r="C108" i="3"/>
  <c r="C108" i="7" s="1"/>
  <c r="C147" i="3"/>
  <c r="C147" i="7" s="1"/>
  <c r="C187" i="3"/>
  <c r="C224" i="3"/>
  <c r="C10" i="3"/>
  <c r="C10" i="7" s="1"/>
  <c r="C47" i="3"/>
  <c r="C47" i="7" s="1"/>
  <c r="C89" i="3"/>
  <c r="C89" i="7" s="1"/>
  <c r="C123" i="3"/>
  <c r="C123" i="7" s="1"/>
  <c r="C163" i="3"/>
  <c r="C204" i="3"/>
  <c r="C13" i="3"/>
  <c r="C13" i="7" s="1"/>
  <c r="C48" i="3"/>
  <c r="C48" i="7" s="1"/>
  <c r="C90" i="3"/>
  <c r="C90" i="7" s="1"/>
  <c r="C129" i="3"/>
  <c r="C129" i="7" s="1"/>
  <c r="C164" i="3"/>
  <c r="C205" i="3"/>
  <c r="C14" i="3"/>
  <c r="C14" i="7" s="1"/>
  <c r="C49" i="3"/>
  <c r="C49" i="7" s="1"/>
  <c r="C91" i="3"/>
  <c r="C91" i="7" s="1"/>
  <c r="C130" i="3"/>
  <c r="C130" i="7" s="1"/>
  <c r="C165" i="3"/>
  <c r="C206" i="3"/>
  <c r="C36" i="3"/>
  <c r="C36" i="7" s="1"/>
  <c r="C87" i="3"/>
  <c r="C87" i="7" s="1"/>
  <c r="C138" i="3"/>
  <c r="C138" i="7" s="1"/>
  <c r="C193" i="3"/>
  <c r="C42" i="3"/>
  <c r="C42" i="7" s="1"/>
  <c r="C43" i="3"/>
  <c r="C43" i="7" s="1"/>
  <c r="C153" i="3"/>
  <c r="C153" i="7" s="1"/>
  <c r="C44" i="3"/>
  <c r="C44" i="7" s="1"/>
  <c r="C154" i="3"/>
  <c r="C154" i="7" s="1"/>
  <c r="C158" i="3"/>
  <c r="C158" i="7" s="1"/>
  <c r="C50" i="3"/>
  <c r="C50" i="7" s="1"/>
  <c r="C104" i="3"/>
  <c r="C104" i="7" s="1"/>
  <c r="C214" i="3"/>
  <c r="C51" i="3"/>
  <c r="C51" i="7" s="1"/>
  <c r="C161" i="3"/>
  <c r="C161" i="7" s="1"/>
  <c r="C37" i="3"/>
  <c r="C37" i="7" s="1"/>
  <c r="C92" i="3"/>
  <c r="C92" i="7" s="1"/>
  <c r="C139" i="3"/>
  <c r="C139" i="7" s="1"/>
  <c r="C194" i="3"/>
  <c r="C94" i="3"/>
  <c r="C94" i="7" s="1"/>
  <c r="C203" i="3"/>
  <c r="C95" i="3"/>
  <c r="C95" i="7" s="1"/>
  <c r="C207" i="3"/>
  <c r="C98" i="3"/>
  <c r="C98" i="7" s="1"/>
  <c r="C209" i="3"/>
  <c r="C45" i="3"/>
  <c r="C45" i="7" s="1"/>
  <c r="C99" i="3"/>
  <c r="C99" i="7" s="1"/>
  <c r="C157" i="3"/>
  <c r="C157" i="7" s="1"/>
  <c r="C210" i="3"/>
  <c r="C46" i="3"/>
  <c r="C46" i="7" s="1"/>
  <c r="C103" i="3"/>
  <c r="C103" i="7" s="1"/>
  <c r="C211" i="3"/>
  <c r="C159" i="3"/>
  <c r="C159" i="7" s="1"/>
  <c r="C105" i="3"/>
  <c r="C105" i="7" s="1"/>
  <c r="C215" i="3"/>
  <c r="C38" i="3"/>
  <c r="C38" i="7" s="1"/>
  <c r="C93" i="3"/>
  <c r="C93" i="7" s="1"/>
  <c r="C144" i="3"/>
  <c r="C144" i="7" s="1"/>
  <c r="C195" i="3"/>
  <c r="C152" i="3"/>
  <c r="C152" i="7" s="1"/>
  <c r="C7" i="3"/>
  <c r="C7" i="7" s="1"/>
  <c r="C61" i="3"/>
  <c r="C61" i="7" s="1"/>
  <c r="C117" i="3"/>
  <c r="C117" i="7" s="1"/>
  <c r="C167" i="3"/>
  <c r="C218" i="3"/>
  <c r="C8" i="3"/>
  <c r="C8" i="7" s="1"/>
  <c r="C62" i="3"/>
  <c r="C62" i="7" s="1"/>
  <c r="C118" i="3"/>
  <c r="C118" i="7" s="1"/>
  <c r="C175" i="3"/>
  <c r="C226" i="3"/>
  <c r="C9" i="3"/>
  <c r="C9" i="7" s="1"/>
  <c r="C63" i="3"/>
  <c r="C63" i="7" s="1"/>
  <c r="C119" i="3"/>
  <c r="C119" i="7" s="1"/>
  <c r="C176" i="3"/>
  <c r="C15" i="3"/>
  <c r="C15" i="7" s="1"/>
  <c r="C65" i="3"/>
  <c r="C65" i="7" s="1"/>
  <c r="C120" i="3"/>
  <c r="C120" i="7" s="1"/>
  <c r="C177" i="3"/>
  <c r="C17" i="3"/>
  <c r="C17" i="7" s="1"/>
  <c r="C66" i="3"/>
  <c r="C66" i="7" s="1"/>
  <c r="C121" i="3"/>
  <c r="C121" i="7" s="1"/>
  <c r="C178" i="3"/>
  <c r="C18" i="3"/>
  <c r="C18" i="7" s="1"/>
  <c r="C73" i="3"/>
  <c r="C73" i="7" s="1"/>
  <c r="C122" i="3"/>
  <c r="C122" i="7" s="1"/>
  <c r="C179" i="3"/>
  <c r="C19" i="3"/>
  <c r="C19" i="7" s="1"/>
  <c r="C74" i="3"/>
  <c r="C74" i="7" s="1"/>
  <c r="C131" i="3"/>
  <c r="C131" i="7" s="1"/>
  <c r="C180" i="3"/>
  <c r="C20" i="3"/>
  <c r="C20" i="7" s="1"/>
  <c r="C75" i="3"/>
  <c r="C75" i="7" s="1"/>
  <c r="C132" i="3"/>
  <c r="C132" i="7" s="1"/>
  <c r="C181" i="3"/>
  <c r="C21" i="3"/>
  <c r="C21" i="7" s="1"/>
  <c r="C79" i="3"/>
  <c r="C79" i="7" s="1"/>
  <c r="C133" i="3"/>
  <c r="C133" i="7" s="1"/>
  <c r="C189" i="3"/>
  <c r="C110" i="3"/>
  <c r="C110" i="7" s="1"/>
  <c r="C137" i="3"/>
  <c r="C137" i="7" s="1"/>
  <c r="C162" i="3"/>
  <c r="C162" i="7" s="1"/>
  <c r="C216" i="3"/>
  <c r="C217" i="3"/>
  <c r="C116" i="3"/>
  <c r="C116" i="7" s="1"/>
  <c r="C166" i="3"/>
  <c r="C190" i="3"/>
  <c r="C191" i="3"/>
  <c r="C192" i="3"/>
  <c r="C82" i="3"/>
  <c r="C82" i="7" s="1"/>
  <c r="C134" i="3"/>
  <c r="C134" i="7" s="1"/>
  <c r="C135" i="3"/>
  <c r="C135" i="7" s="1"/>
  <c r="C22" i="3"/>
  <c r="C22" i="7" s="1"/>
  <c r="C23" i="3"/>
  <c r="C23" i="7" s="1"/>
  <c r="C31" i="3"/>
  <c r="C31" i="7" s="1"/>
  <c r="C59" i="3"/>
  <c r="C59" i="7" s="1"/>
  <c r="C60" i="3"/>
  <c r="C60" i="7" s="1"/>
  <c r="C80" i="3"/>
  <c r="C80" i="7" s="1"/>
  <c r="C81" i="3"/>
  <c r="C81" i="7" s="1"/>
  <c r="E27" i="3"/>
  <c r="E27" i="7" s="1"/>
  <c r="E51" i="3"/>
  <c r="E51" i="7" s="1"/>
  <c r="E75" i="3"/>
  <c r="E75" i="7" s="1"/>
  <c r="E99" i="3"/>
  <c r="E99" i="7" s="1"/>
  <c r="E123" i="3"/>
  <c r="E123" i="7" s="1"/>
  <c r="E147" i="3"/>
  <c r="E147" i="7" s="1"/>
  <c r="E171" i="3"/>
  <c r="E195" i="3"/>
  <c r="E219" i="3"/>
  <c r="E28" i="3"/>
  <c r="E28" i="7" s="1"/>
  <c r="E52" i="3"/>
  <c r="E52" i="7" s="1"/>
  <c r="E76" i="3"/>
  <c r="E76" i="7" s="1"/>
  <c r="E100" i="3"/>
  <c r="E100" i="7" s="1"/>
  <c r="E124" i="3"/>
  <c r="E124" i="7" s="1"/>
  <c r="E148" i="3"/>
  <c r="E148" i="7" s="1"/>
  <c r="E172" i="3"/>
  <c r="E196" i="3"/>
  <c r="E220" i="3"/>
  <c r="E29" i="3"/>
  <c r="E29" i="7" s="1"/>
  <c r="E53" i="3"/>
  <c r="E53" i="7" s="1"/>
  <c r="E77" i="3"/>
  <c r="E77" i="7" s="1"/>
  <c r="E101" i="3"/>
  <c r="E101" i="7" s="1"/>
  <c r="E125" i="3"/>
  <c r="E125" i="7" s="1"/>
  <c r="E149" i="3"/>
  <c r="E149" i="7" s="1"/>
  <c r="E173" i="3"/>
  <c r="E197" i="3"/>
  <c r="E221" i="3"/>
  <c r="E15" i="3"/>
  <c r="E15" i="7" s="1"/>
  <c r="E39" i="3"/>
  <c r="E39" i="7" s="1"/>
  <c r="E63" i="3"/>
  <c r="E63" i="7" s="1"/>
  <c r="E87" i="3"/>
  <c r="E87" i="7" s="1"/>
  <c r="E111" i="3"/>
  <c r="E111" i="7" s="1"/>
  <c r="E135" i="3"/>
  <c r="E135" i="7" s="1"/>
  <c r="E159" i="3"/>
  <c r="E159" i="7" s="1"/>
  <c r="E183" i="3"/>
  <c r="E207" i="3"/>
  <c r="E19" i="3"/>
  <c r="E19" i="7" s="1"/>
  <c r="E47" i="3"/>
  <c r="E47" i="7" s="1"/>
  <c r="E78" i="3"/>
  <c r="E78" i="7" s="1"/>
  <c r="E106" i="3"/>
  <c r="E106" i="7" s="1"/>
  <c r="E134" i="3"/>
  <c r="E134" i="7" s="1"/>
  <c r="E163" i="3"/>
  <c r="E191" i="3"/>
  <c r="E222" i="3"/>
  <c r="E20" i="3"/>
  <c r="E20" i="7" s="1"/>
  <c r="E48" i="3"/>
  <c r="E48" i="7" s="1"/>
  <c r="E79" i="3"/>
  <c r="E79" i="7" s="1"/>
  <c r="E107" i="3"/>
  <c r="E107" i="7" s="1"/>
  <c r="E136" i="3"/>
  <c r="E136" i="7" s="1"/>
  <c r="E164" i="3"/>
  <c r="E192" i="3"/>
  <c r="E223" i="3"/>
  <c r="E21" i="3"/>
  <c r="E21" i="7" s="1"/>
  <c r="E49" i="3"/>
  <c r="E49" i="7" s="1"/>
  <c r="E80" i="3"/>
  <c r="E80" i="7" s="1"/>
  <c r="E108" i="3"/>
  <c r="E108" i="7" s="1"/>
  <c r="E137" i="3"/>
  <c r="E137" i="7" s="1"/>
  <c r="E165" i="3"/>
  <c r="E193" i="3"/>
  <c r="E224" i="3"/>
  <c r="E194" i="3"/>
  <c r="E22" i="3"/>
  <c r="E22" i="7" s="1"/>
  <c r="E50" i="3"/>
  <c r="E50" i="7" s="1"/>
  <c r="E81" i="3"/>
  <c r="E81" i="7" s="1"/>
  <c r="E109" i="3"/>
  <c r="E109" i="7" s="1"/>
  <c r="E138" i="3"/>
  <c r="E138" i="7" s="1"/>
  <c r="E166" i="3"/>
  <c r="E225" i="3"/>
  <c r="E34" i="3"/>
  <c r="E34" i="7" s="1"/>
  <c r="E62" i="3"/>
  <c r="E62" i="7" s="1"/>
  <c r="E91" i="3"/>
  <c r="E91" i="7" s="1"/>
  <c r="E119" i="3"/>
  <c r="E119" i="7" s="1"/>
  <c r="E150" i="3"/>
  <c r="E150" i="7" s="1"/>
  <c r="E178" i="3"/>
  <c r="E206" i="3"/>
  <c r="E7" i="3"/>
  <c r="E7" i="7" s="1"/>
  <c r="E35" i="3"/>
  <c r="E35" i="7" s="1"/>
  <c r="E64" i="3"/>
  <c r="E64" i="7" s="1"/>
  <c r="E92" i="3"/>
  <c r="E92" i="7" s="1"/>
  <c r="E120" i="3"/>
  <c r="E120" i="7" s="1"/>
  <c r="E151" i="3"/>
  <c r="E151" i="7" s="1"/>
  <c r="E179" i="3"/>
  <c r="E208" i="3"/>
  <c r="E8" i="3"/>
  <c r="E8" i="7" s="1"/>
  <c r="E36" i="3"/>
  <c r="E36" i="7" s="1"/>
  <c r="E65" i="3"/>
  <c r="E65" i="7" s="1"/>
  <c r="E93" i="3"/>
  <c r="E93" i="7" s="1"/>
  <c r="E121" i="3"/>
  <c r="E121" i="7" s="1"/>
  <c r="E152" i="3"/>
  <c r="E152" i="7" s="1"/>
  <c r="E180" i="3"/>
  <c r="E209" i="3"/>
  <c r="E44" i="3"/>
  <c r="E44" i="7" s="1"/>
  <c r="E86" i="3"/>
  <c r="E86" i="7" s="1"/>
  <c r="E128" i="3"/>
  <c r="E128" i="7" s="1"/>
  <c r="E168" i="3"/>
  <c r="E210" i="3"/>
  <c r="E9" i="3"/>
  <c r="E9" i="7" s="1"/>
  <c r="E45" i="3"/>
  <c r="E45" i="7" s="1"/>
  <c r="E88" i="3"/>
  <c r="E88" i="7" s="1"/>
  <c r="E129" i="3"/>
  <c r="E129" i="7" s="1"/>
  <c r="E169" i="3"/>
  <c r="E211" i="3"/>
  <c r="E54" i="3"/>
  <c r="E54" i="7" s="1"/>
  <c r="E90" i="3"/>
  <c r="E90" i="7" s="1"/>
  <c r="E174" i="3"/>
  <c r="E213" i="3"/>
  <c r="E10" i="3"/>
  <c r="E10" i="7" s="1"/>
  <c r="E46" i="3"/>
  <c r="E46" i="7" s="1"/>
  <c r="E89" i="3"/>
  <c r="E89" i="7" s="1"/>
  <c r="E130" i="3"/>
  <c r="E130" i="7" s="1"/>
  <c r="E170" i="3"/>
  <c r="E212" i="3"/>
  <c r="E11" i="3"/>
  <c r="E11" i="7" s="1"/>
  <c r="E131" i="3"/>
  <c r="E131" i="7" s="1"/>
  <c r="E25" i="3"/>
  <c r="E25" i="7" s="1"/>
  <c r="E67" i="3"/>
  <c r="E67" i="7" s="1"/>
  <c r="E105" i="3"/>
  <c r="E105" i="7" s="1"/>
  <c r="E145" i="3"/>
  <c r="E145" i="7" s="1"/>
  <c r="E187" i="3"/>
  <c r="E229" i="3"/>
  <c r="E26" i="3"/>
  <c r="E26" i="7" s="1"/>
  <c r="E68" i="3"/>
  <c r="E68" i="7" s="1"/>
  <c r="E110" i="3"/>
  <c r="E110" i="7" s="1"/>
  <c r="E146" i="3"/>
  <c r="E146" i="7" s="1"/>
  <c r="E188" i="3"/>
  <c r="E230" i="3"/>
  <c r="E30" i="3"/>
  <c r="E30" i="7" s="1"/>
  <c r="E69" i="3"/>
  <c r="E69" i="7" s="1"/>
  <c r="E112" i="3"/>
  <c r="E112" i="7" s="1"/>
  <c r="E153" i="3"/>
  <c r="E153" i="7" s="1"/>
  <c r="E189" i="3"/>
  <c r="E38" i="3"/>
  <c r="E38" i="7" s="1"/>
  <c r="E96" i="3"/>
  <c r="E96" i="7" s="1"/>
  <c r="E155" i="3"/>
  <c r="E155" i="7" s="1"/>
  <c r="E205" i="3"/>
  <c r="E42" i="3"/>
  <c r="E42" i="7" s="1"/>
  <c r="E43" i="3"/>
  <c r="E43" i="7" s="1"/>
  <c r="E160" i="3"/>
  <c r="E160" i="7" s="1"/>
  <c r="E55" i="3"/>
  <c r="E55" i="7" s="1"/>
  <c r="E161" i="3"/>
  <c r="E161" i="7" s="1"/>
  <c r="E114" i="3"/>
  <c r="E114" i="7" s="1"/>
  <c r="E58" i="3"/>
  <c r="E58" i="7" s="1"/>
  <c r="E115" i="3"/>
  <c r="E115" i="7" s="1"/>
  <c r="E175" i="3"/>
  <c r="E228" i="3"/>
  <c r="E176" i="3"/>
  <c r="E40" i="3"/>
  <c r="E40" i="7" s="1"/>
  <c r="E97" i="3"/>
  <c r="E97" i="7" s="1"/>
  <c r="E156" i="3"/>
  <c r="E156" i="7" s="1"/>
  <c r="E214" i="3"/>
  <c r="E102" i="3"/>
  <c r="E102" i="7" s="1"/>
  <c r="E216" i="3"/>
  <c r="E103" i="3"/>
  <c r="E103" i="7" s="1"/>
  <c r="E217" i="3"/>
  <c r="E104" i="3"/>
  <c r="E104" i="7" s="1"/>
  <c r="E218" i="3"/>
  <c r="E56" i="3"/>
  <c r="E56" i="7" s="1"/>
  <c r="E113" i="3"/>
  <c r="E113" i="7" s="1"/>
  <c r="E162" i="3"/>
  <c r="E162" i="7" s="1"/>
  <c r="E226" i="3"/>
  <c r="E57" i="3"/>
  <c r="E57" i="7" s="1"/>
  <c r="E167" i="3"/>
  <c r="E227" i="3"/>
  <c r="E59" i="3"/>
  <c r="E59" i="7" s="1"/>
  <c r="E116" i="3"/>
  <c r="E116" i="7" s="1"/>
  <c r="E41" i="3"/>
  <c r="E41" i="7" s="1"/>
  <c r="E98" i="3"/>
  <c r="E98" i="7" s="1"/>
  <c r="E157" i="3"/>
  <c r="E157" i="7" s="1"/>
  <c r="E215" i="3"/>
  <c r="E158" i="3"/>
  <c r="E158" i="7" s="1"/>
  <c r="E12" i="3"/>
  <c r="E12" i="7" s="1"/>
  <c r="E66" i="3"/>
  <c r="E66" i="7" s="1"/>
  <c r="E122" i="3"/>
  <c r="E122" i="7" s="1"/>
  <c r="E182" i="3"/>
  <c r="E13" i="3"/>
  <c r="E13" i="7" s="1"/>
  <c r="E70" i="3"/>
  <c r="E70" i="7" s="1"/>
  <c r="E126" i="3"/>
  <c r="E126" i="7" s="1"/>
  <c r="E184" i="3"/>
  <c r="E14" i="3"/>
  <c r="E14" i="7" s="1"/>
  <c r="E71" i="3"/>
  <c r="E71" i="7" s="1"/>
  <c r="E127" i="3"/>
  <c r="E127" i="7" s="1"/>
  <c r="E185" i="3"/>
  <c r="E16" i="3"/>
  <c r="E16" i="7" s="1"/>
  <c r="E72" i="3"/>
  <c r="E72" i="7" s="1"/>
  <c r="E132" i="3"/>
  <c r="E132" i="7" s="1"/>
  <c r="E186" i="3"/>
  <c r="E17" i="3"/>
  <c r="E17" i="7" s="1"/>
  <c r="E73" i="3"/>
  <c r="E73" i="7" s="1"/>
  <c r="E133" i="3"/>
  <c r="E133" i="7" s="1"/>
  <c r="E190" i="3"/>
  <c r="E18" i="3"/>
  <c r="E18" i="7" s="1"/>
  <c r="E74" i="3"/>
  <c r="E74" i="7" s="1"/>
  <c r="E139" i="3"/>
  <c r="E139" i="7" s="1"/>
  <c r="E198" i="3"/>
  <c r="E23" i="3"/>
  <c r="E23" i="7" s="1"/>
  <c r="E82" i="3"/>
  <c r="E82" i="7" s="1"/>
  <c r="E140" i="3"/>
  <c r="E140" i="7" s="1"/>
  <c r="E199" i="3"/>
  <c r="E24" i="3"/>
  <c r="E24" i="7" s="1"/>
  <c r="E83" i="3"/>
  <c r="E83" i="7" s="1"/>
  <c r="E141" i="3"/>
  <c r="E141" i="7" s="1"/>
  <c r="E200" i="3"/>
  <c r="E31" i="3"/>
  <c r="E31" i="7" s="1"/>
  <c r="E84" i="3"/>
  <c r="E84" i="7" s="1"/>
  <c r="E142" i="3"/>
  <c r="E142" i="7" s="1"/>
  <c r="E201" i="3"/>
  <c r="E32" i="3"/>
  <c r="E32" i="7" s="1"/>
  <c r="E61" i="3"/>
  <c r="E61" i="7" s="1"/>
  <c r="E85" i="3"/>
  <c r="E85" i="7" s="1"/>
  <c r="E117" i="3"/>
  <c r="E117" i="7" s="1"/>
  <c r="E143" i="3"/>
  <c r="E143" i="7" s="1"/>
  <c r="E33" i="3"/>
  <c r="E33" i="7" s="1"/>
  <c r="E94" i="3"/>
  <c r="E94" i="7" s="1"/>
  <c r="E95" i="3"/>
  <c r="E95" i="7" s="1"/>
  <c r="E118" i="3"/>
  <c r="E118" i="7" s="1"/>
  <c r="E144" i="3"/>
  <c r="E144" i="7" s="1"/>
  <c r="E37" i="3"/>
  <c r="E37" i="7" s="1"/>
  <c r="E60" i="3"/>
  <c r="E60" i="7" s="1"/>
  <c r="E154" i="3"/>
  <c r="E154" i="7" s="1"/>
  <c r="E177" i="3"/>
  <c r="E181" i="3"/>
  <c r="E202" i="3"/>
  <c r="E203" i="3"/>
  <c r="E204" i="3"/>
  <c r="G18" i="3"/>
  <c r="G18" i="7" s="1"/>
  <c r="G42" i="3"/>
  <c r="G42" i="7" s="1"/>
  <c r="G66" i="3"/>
  <c r="G66" i="7" s="1"/>
  <c r="G90" i="3"/>
  <c r="G90" i="7" s="1"/>
  <c r="G114" i="3"/>
  <c r="G114" i="7" s="1"/>
  <c r="G138" i="3"/>
  <c r="G138" i="7" s="1"/>
  <c r="G162" i="3"/>
  <c r="G162" i="7" s="1"/>
  <c r="G19" i="3"/>
  <c r="G19" i="7" s="1"/>
  <c r="G43" i="3"/>
  <c r="G43" i="7" s="1"/>
  <c r="G67" i="3"/>
  <c r="G67" i="7" s="1"/>
  <c r="G91" i="3"/>
  <c r="G91" i="7" s="1"/>
  <c r="G115" i="3"/>
  <c r="G115" i="7" s="1"/>
  <c r="G139" i="3"/>
  <c r="G139" i="7" s="1"/>
  <c r="G20" i="3"/>
  <c r="G20" i="7" s="1"/>
  <c r="G44" i="3"/>
  <c r="G44" i="7" s="1"/>
  <c r="G68" i="3"/>
  <c r="G68" i="7" s="1"/>
  <c r="G92" i="3"/>
  <c r="G92" i="7" s="1"/>
  <c r="G116" i="3"/>
  <c r="G116" i="7" s="1"/>
  <c r="G140" i="3"/>
  <c r="G140" i="7" s="1"/>
  <c r="G6" i="3"/>
  <c r="G6" i="7" s="1"/>
  <c r="G30" i="3"/>
  <c r="G30" i="7" s="1"/>
  <c r="G54" i="3"/>
  <c r="G54" i="7" s="1"/>
  <c r="G78" i="3"/>
  <c r="G78" i="7" s="1"/>
  <c r="G102" i="3"/>
  <c r="G102" i="7" s="1"/>
  <c r="G126" i="3"/>
  <c r="G126" i="7" s="1"/>
  <c r="G150" i="3"/>
  <c r="G150" i="7" s="1"/>
  <c r="G21" i="3"/>
  <c r="G21" i="7" s="1"/>
  <c r="G49" i="3"/>
  <c r="G49" i="7" s="1"/>
  <c r="G77" i="3"/>
  <c r="G77" i="7" s="1"/>
  <c r="G106" i="3"/>
  <c r="G106" i="7" s="1"/>
  <c r="G134" i="3"/>
  <c r="G134" i="7" s="1"/>
  <c r="G137" i="3"/>
  <c r="G137" i="7" s="1"/>
  <c r="G22" i="3"/>
  <c r="G22" i="7" s="1"/>
  <c r="G50" i="3"/>
  <c r="G50" i="7" s="1"/>
  <c r="G79" i="3"/>
  <c r="G79" i="7" s="1"/>
  <c r="G107" i="3"/>
  <c r="G107" i="7" s="1"/>
  <c r="G135" i="3"/>
  <c r="G135" i="7" s="1"/>
  <c r="G23" i="3"/>
  <c r="G23" i="7" s="1"/>
  <c r="G51" i="3"/>
  <c r="G51" i="7" s="1"/>
  <c r="G80" i="3"/>
  <c r="G80" i="7" s="1"/>
  <c r="G108" i="3"/>
  <c r="G108" i="7" s="1"/>
  <c r="G136" i="3"/>
  <c r="G136" i="7" s="1"/>
  <c r="G24" i="3"/>
  <c r="G24" i="7" s="1"/>
  <c r="G52" i="3"/>
  <c r="G52" i="7" s="1"/>
  <c r="G81" i="3"/>
  <c r="G81" i="7" s="1"/>
  <c r="G109" i="3"/>
  <c r="G109" i="7" s="1"/>
  <c r="G5" i="3"/>
  <c r="G5" i="7" s="1"/>
  <c r="G34" i="3"/>
  <c r="G34" i="7" s="1"/>
  <c r="G62" i="3"/>
  <c r="G62" i="7" s="1"/>
  <c r="G93" i="3"/>
  <c r="G93" i="7" s="1"/>
  <c r="G121" i="3"/>
  <c r="G121" i="7" s="1"/>
  <c r="G149" i="3"/>
  <c r="G149" i="7" s="1"/>
  <c r="G7" i="3"/>
  <c r="G7" i="7" s="1"/>
  <c r="G35" i="3"/>
  <c r="G35" i="7" s="1"/>
  <c r="G63" i="3"/>
  <c r="G63" i="7" s="1"/>
  <c r="G94" i="3"/>
  <c r="G94" i="7" s="1"/>
  <c r="G122" i="3"/>
  <c r="G122" i="7" s="1"/>
  <c r="G151" i="3"/>
  <c r="G151" i="7" s="1"/>
  <c r="G8" i="3"/>
  <c r="G8" i="7" s="1"/>
  <c r="G36" i="3"/>
  <c r="G36" i="7" s="1"/>
  <c r="G64" i="3"/>
  <c r="G64" i="7" s="1"/>
  <c r="G95" i="3"/>
  <c r="G95" i="7" s="1"/>
  <c r="G123" i="3"/>
  <c r="G123" i="7" s="1"/>
  <c r="G152" i="3"/>
  <c r="G152" i="7" s="1"/>
  <c r="G32" i="3"/>
  <c r="G32" i="7" s="1"/>
  <c r="G73" i="3"/>
  <c r="G73" i="7" s="1"/>
  <c r="G113" i="3"/>
  <c r="G113" i="7" s="1"/>
  <c r="G155" i="3"/>
  <c r="G155" i="7" s="1"/>
  <c r="G33" i="3"/>
  <c r="G33" i="7" s="1"/>
  <c r="G74" i="3"/>
  <c r="G74" i="7" s="1"/>
  <c r="G117" i="3"/>
  <c r="G117" i="7" s="1"/>
  <c r="G156" i="3"/>
  <c r="G156" i="7" s="1"/>
  <c r="G38" i="3"/>
  <c r="G38" i="7" s="1"/>
  <c r="G119" i="3"/>
  <c r="G119" i="7" s="1"/>
  <c r="G37" i="3"/>
  <c r="G37" i="7" s="1"/>
  <c r="G75" i="3"/>
  <c r="G75" i="7" s="1"/>
  <c r="G118" i="3"/>
  <c r="G118" i="7" s="1"/>
  <c r="G157" i="3"/>
  <c r="G157" i="7" s="1"/>
  <c r="G76" i="3"/>
  <c r="G76" i="7" s="1"/>
  <c r="G158" i="3"/>
  <c r="G158" i="7" s="1"/>
  <c r="G12" i="3"/>
  <c r="G12" i="7" s="1"/>
  <c r="G55" i="3"/>
  <c r="G55" i="7" s="1"/>
  <c r="G96" i="3"/>
  <c r="G96" i="7" s="1"/>
  <c r="G132" i="3"/>
  <c r="G132" i="7" s="1"/>
  <c r="G13" i="3"/>
  <c r="G13" i="7" s="1"/>
  <c r="G56" i="3"/>
  <c r="G56" i="7" s="1"/>
  <c r="G97" i="3"/>
  <c r="G97" i="7" s="1"/>
  <c r="G133" i="3"/>
  <c r="G133" i="7" s="1"/>
  <c r="G14" i="3"/>
  <c r="G14" i="7" s="1"/>
  <c r="G57" i="3"/>
  <c r="G57" i="7" s="1"/>
  <c r="G98" i="3"/>
  <c r="G98" i="7" s="1"/>
  <c r="G141" i="3"/>
  <c r="G141" i="7" s="1"/>
  <c r="G40" i="3"/>
  <c r="G40" i="7" s="1"/>
  <c r="G99" i="3"/>
  <c r="G99" i="7" s="1"/>
  <c r="G153" i="3"/>
  <c r="G153" i="7" s="1"/>
  <c r="G47" i="3"/>
  <c r="G47" i="7" s="1"/>
  <c r="G161" i="3"/>
  <c r="G161" i="7" s="1"/>
  <c r="G48" i="3"/>
  <c r="G48" i="7" s="1"/>
  <c r="G59" i="3"/>
  <c r="G59" i="7" s="1"/>
  <c r="G112" i="3"/>
  <c r="G112" i="7" s="1"/>
  <c r="G60" i="3"/>
  <c r="G60" i="7" s="1"/>
  <c r="G41" i="3"/>
  <c r="G41" i="7" s="1"/>
  <c r="G100" i="3"/>
  <c r="G100" i="7" s="1"/>
  <c r="G154" i="3"/>
  <c r="G154" i="7" s="1"/>
  <c r="G46" i="3"/>
  <c r="G46" i="7" s="1"/>
  <c r="G103" i="3"/>
  <c r="G103" i="7" s="1"/>
  <c r="G104" i="3"/>
  <c r="G104" i="7" s="1"/>
  <c r="G105" i="3"/>
  <c r="G105" i="7" s="1"/>
  <c r="G53" i="3"/>
  <c r="G53" i="7" s="1"/>
  <c r="G110" i="3"/>
  <c r="G110" i="7" s="1"/>
  <c r="G58" i="3"/>
  <c r="G58" i="7" s="1"/>
  <c r="G111" i="3"/>
  <c r="G111" i="7" s="1"/>
  <c r="G120" i="3"/>
  <c r="G120" i="7" s="1"/>
  <c r="G45" i="3"/>
  <c r="G45" i="7" s="1"/>
  <c r="G101" i="3"/>
  <c r="G101" i="7" s="1"/>
  <c r="G159" i="3"/>
  <c r="G159" i="7" s="1"/>
  <c r="G160" i="3"/>
  <c r="G160" i="7" s="1"/>
  <c r="G10" i="3"/>
  <c r="G10" i="7" s="1"/>
  <c r="G69" i="3"/>
  <c r="G69" i="7" s="1"/>
  <c r="G127" i="3"/>
  <c r="G127" i="7" s="1"/>
  <c r="G11" i="3"/>
  <c r="G11" i="7" s="1"/>
  <c r="G70" i="3"/>
  <c r="G70" i="7" s="1"/>
  <c r="G128" i="3"/>
  <c r="G128" i="7" s="1"/>
  <c r="G15" i="3"/>
  <c r="G15" i="7" s="1"/>
  <c r="G71" i="3"/>
  <c r="G71" i="7" s="1"/>
  <c r="G129" i="3"/>
  <c r="G129" i="7" s="1"/>
  <c r="G16" i="3"/>
  <c r="G16" i="7" s="1"/>
  <c r="G72" i="3"/>
  <c r="G72" i="7" s="1"/>
  <c r="G130" i="3"/>
  <c r="G130" i="7" s="1"/>
  <c r="G17" i="3"/>
  <c r="G17" i="7" s="1"/>
  <c r="G82" i="3"/>
  <c r="G82" i="7" s="1"/>
  <c r="G131" i="3"/>
  <c r="G131" i="7" s="1"/>
  <c r="G25" i="3"/>
  <c r="G25" i="7" s="1"/>
  <c r="G83" i="3"/>
  <c r="G83" i="7" s="1"/>
  <c r="G142" i="3"/>
  <c r="G142" i="7" s="1"/>
  <c r="G26" i="3"/>
  <c r="G26" i="7" s="1"/>
  <c r="G84" i="3"/>
  <c r="G84" i="7" s="1"/>
  <c r="G143" i="3"/>
  <c r="G143" i="7" s="1"/>
  <c r="G27" i="3"/>
  <c r="G27" i="7" s="1"/>
  <c r="G85" i="3"/>
  <c r="G85" i="7" s="1"/>
  <c r="G144" i="3"/>
  <c r="G144" i="7" s="1"/>
  <c r="G28" i="3"/>
  <c r="G28" i="7" s="1"/>
  <c r="G86" i="3"/>
  <c r="G86" i="7" s="1"/>
  <c r="G145" i="3"/>
  <c r="G145" i="7" s="1"/>
  <c r="G9" i="3"/>
  <c r="G9" i="7" s="1"/>
  <c r="G4" i="3"/>
  <c r="G4" i="7" s="1"/>
  <c r="G29" i="3"/>
  <c r="G29" i="7" s="1"/>
  <c r="G31" i="3"/>
  <c r="G31" i="7" s="1"/>
  <c r="G39" i="3"/>
  <c r="G39" i="7" s="1"/>
  <c r="G61" i="3"/>
  <c r="G61" i="7" s="1"/>
  <c r="G65" i="3"/>
  <c r="G65" i="7" s="1"/>
  <c r="G87" i="3"/>
  <c r="G87" i="7" s="1"/>
  <c r="G88" i="3"/>
  <c r="G88" i="7" s="1"/>
  <c r="G89" i="3"/>
  <c r="G89" i="7" s="1"/>
  <c r="G124" i="3"/>
  <c r="G124" i="7" s="1"/>
  <c r="G125" i="3"/>
  <c r="G125" i="7" s="1"/>
  <c r="G146" i="3"/>
  <c r="G146" i="7" s="1"/>
  <c r="G147" i="3"/>
  <c r="G147" i="7" s="1"/>
  <c r="G148" i="3"/>
  <c r="G148" i="7" s="1"/>
  <c r="M2" i="5"/>
  <c r="K2" i="5"/>
  <c r="J2" i="5"/>
  <c r="N2" i="5"/>
  <c r="E5" i="5" l="1"/>
  <c r="E6" i="5"/>
  <c r="E7" i="5"/>
  <c r="E8" i="5"/>
  <c r="E9" i="5"/>
  <c r="E10" i="5"/>
  <c r="E11" i="5"/>
  <c r="E12" i="5"/>
  <c r="E13" i="5"/>
  <c r="E14" i="5"/>
  <c r="E15" i="5"/>
  <c r="E16" i="5"/>
  <c r="E17" i="5"/>
  <c r="E18" i="5"/>
  <c r="E19" i="5"/>
  <c r="E20" i="5"/>
  <c r="E21" i="5"/>
  <c r="E22" i="5"/>
  <c r="E23" i="5"/>
  <c r="E25"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5" i="5"/>
  <c r="A6" i="5"/>
  <c r="A4" i="5"/>
  <c r="E4" i="5" l="1"/>
  <c r="P4" i="5"/>
  <c r="I4" i="5"/>
  <c r="E162" i="5"/>
  <c r="D2" i="5"/>
  <c r="B2" i="5"/>
  <c r="P2" i="5" l="1"/>
  <c r="C4" i="5"/>
  <c r="B4" i="3" s="1"/>
  <c r="B4" i="7" s="1"/>
  <c r="S2" i="5"/>
  <c r="P12" i="2" s="1"/>
  <c r="C7" i="5"/>
  <c r="B7" i="3" s="1"/>
  <c r="B7" i="7" s="1"/>
  <c r="C31" i="5"/>
  <c r="B31" i="3" s="1"/>
  <c r="B31" i="7" s="1"/>
  <c r="H162" i="3"/>
  <c r="H162" i="7" s="1"/>
  <c r="H5" i="3"/>
  <c r="H5" i="7" s="1"/>
  <c r="H4" i="3"/>
  <c r="H4" i="7" s="1"/>
  <c r="C56" i="5"/>
  <c r="B56" i="3" s="1"/>
  <c r="B56" i="7" s="1"/>
  <c r="J6" i="3"/>
  <c r="J6" i="7" s="1"/>
  <c r="C28" i="5"/>
  <c r="B28" i="3" s="1"/>
  <c r="B28" i="7" s="1"/>
  <c r="C148" i="5"/>
  <c r="B148" i="3" s="1"/>
  <c r="B148" i="7" s="1"/>
  <c r="C149" i="5"/>
  <c r="B149" i="3" s="1"/>
  <c r="B149" i="7" s="1"/>
  <c r="C30" i="5"/>
  <c r="B30" i="3" s="1"/>
  <c r="B30" i="7" s="1"/>
  <c r="C126" i="5"/>
  <c r="B126" i="3" s="1"/>
  <c r="B126" i="7" s="1"/>
  <c r="F218" i="3"/>
  <c r="F217" i="3"/>
  <c r="F186" i="3"/>
  <c r="F110" i="3"/>
  <c r="F110" i="7" s="1"/>
  <c r="F86" i="3"/>
  <c r="F86" i="7" s="1"/>
  <c r="F62" i="3"/>
  <c r="F62" i="7" s="1"/>
  <c r="F114" i="3"/>
  <c r="F114" i="7" s="1"/>
  <c r="F38" i="3"/>
  <c r="F38" i="7" s="1"/>
  <c r="F14" i="3"/>
  <c r="F14" i="7" s="1"/>
  <c r="F69" i="3"/>
  <c r="F69" i="7" s="1"/>
  <c r="F187" i="3"/>
  <c r="F16" i="3"/>
  <c r="F16" i="7" s="1"/>
  <c r="F202" i="3"/>
  <c r="F124" i="3"/>
  <c r="F124" i="7" s="1"/>
  <c r="F174" i="3"/>
  <c r="F12" i="3"/>
  <c r="F12" i="7" s="1"/>
  <c r="F180" i="3"/>
  <c r="F90" i="3"/>
  <c r="F90" i="7" s="1"/>
  <c r="F177" i="3"/>
  <c r="F18" i="3"/>
  <c r="F18" i="7" s="1"/>
  <c r="F163" i="3"/>
  <c r="F115" i="3"/>
  <c r="F115" i="7" s="1"/>
  <c r="F194" i="3"/>
  <c r="F200" i="3"/>
  <c r="F229" i="3"/>
  <c r="F219" i="3"/>
  <c r="F50" i="3"/>
  <c r="F50" i="7" s="1"/>
  <c r="F213" i="3"/>
  <c r="F138" i="3"/>
  <c r="F138" i="7" s="1"/>
  <c r="F207" i="3"/>
  <c r="F117" i="3"/>
  <c r="F117" i="7" s="1"/>
  <c r="F21" i="3"/>
  <c r="F21" i="7" s="1"/>
  <c r="F204" i="3"/>
  <c r="F89" i="3"/>
  <c r="F89" i="7" s="1"/>
  <c r="F206" i="3"/>
  <c r="F182" i="3"/>
  <c r="F195" i="3"/>
  <c r="F179" i="3"/>
  <c r="F81" i="3"/>
  <c r="F81" i="7" s="1"/>
  <c r="F189" i="3"/>
  <c r="F183" i="3"/>
  <c r="F165" i="3"/>
  <c r="F159" i="3"/>
  <c r="F159" i="7" s="1"/>
  <c r="F66" i="3"/>
  <c r="F66" i="7" s="1"/>
  <c r="F135" i="3"/>
  <c r="F135" i="7" s="1"/>
  <c r="F42" i="3"/>
  <c r="F42" i="7" s="1"/>
  <c r="F193" i="3"/>
  <c r="F63" i="3"/>
  <c r="F63" i="7" s="1"/>
  <c r="F185" i="3"/>
  <c r="F161" i="3"/>
  <c r="F161" i="7" s="1"/>
  <c r="F137" i="3"/>
  <c r="F137" i="7" s="1"/>
  <c r="F190" i="3"/>
  <c r="F116" i="3"/>
  <c r="F116" i="7" s="1"/>
  <c r="F93" i="3"/>
  <c r="F93" i="7" s="1"/>
  <c r="F87" i="3"/>
  <c r="F87" i="7" s="1"/>
  <c r="F13" i="3"/>
  <c r="F13" i="7" s="1"/>
  <c r="F222" i="3"/>
  <c r="F164" i="3"/>
  <c r="F178" i="3"/>
  <c r="F156" i="3"/>
  <c r="F156" i="7" s="1"/>
  <c r="F230" i="3"/>
  <c r="F41" i="3"/>
  <c r="F41" i="7" s="1"/>
  <c r="F53" i="3"/>
  <c r="F53" i="7" s="1"/>
  <c r="F210" i="3"/>
  <c r="F192" i="3"/>
  <c r="F147" i="3"/>
  <c r="F147" i="7" s="1"/>
  <c r="F141" i="3"/>
  <c r="F141" i="7" s="1"/>
  <c r="F212" i="3"/>
  <c r="F139" i="3"/>
  <c r="F139" i="7" s="1"/>
  <c r="F199" i="3"/>
  <c r="F111" i="3"/>
  <c r="F111" i="7" s="1"/>
  <c r="F15" i="3"/>
  <c r="F15" i="7" s="1"/>
  <c r="F175" i="3"/>
  <c r="F51" i="3"/>
  <c r="F51" i="7" s="1"/>
  <c r="F40" i="3"/>
  <c r="F40" i="7" s="1"/>
  <c r="F214" i="3"/>
  <c r="F65" i="3"/>
  <c r="F65" i="7" s="1"/>
  <c r="F17" i="3"/>
  <c r="F17" i="7" s="1"/>
  <c r="F134" i="3"/>
  <c r="F134" i="7" s="1"/>
  <c r="F203" i="3"/>
  <c r="F113" i="3"/>
  <c r="F113" i="7" s="1"/>
  <c r="F43" i="3"/>
  <c r="F43" i="7" s="1"/>
  <c r="F181" i="3"/>
  <c r="F45" i="3"/>
  <c r="F45" i="7" s="1"/>
  <c r="F39" i="3"/>
  <c r="F39" i="7" s="1"/>
  <c r="F82" i="3"/>
  <c r="F82" i="7" s="1"/>
  <c r="F226" i="3"/>
  <c r="F158" i="3"/>
  <c r="F158" i="7" s="1"/>
  <c r="F118" i="3"/>
  <c r="F118" i="7" s="1"/>
  <c r="F67" i="3"/>
  <c r="F67" i="7" s="1"/>
  <c r="F148" i="3"/>
  <c r="F148" i="7" s="1"/>
  <c r="F211" i="3"/>
  <c r="F209" i="3"/>
  <c r="F64" i="3"/>
  <c r="F64" i="7" s="1"/>
  <c r="F91" i="3"/>
  <c r="F91" i="7" s="1"/>
  <c r="F19" i="3"/>
  <c r="F19" i="7" s="1"/>
  <c r="F88" i="3"/>
  <c r="F88" i="7" s="1"/>
  <c r="F11" i="3"/>
  <c r="F11" i="7" s="1"/>
  <c r="F31" i="3"/>
  <c r="F31" i="7" s="1"/>
  <c r="F33" i="3"/>
  <c r="F33" i="7" s="1"/>
  <c r="F208" i="3"/>
  <c r="F149" i="3"/>
  <c r="F149" i="7" s="1"/>
  <c r="F6" i="3"/>
  <c r="F6" i="7" s="1"/>
  <c r="F106" i="3"/>
  <c r="F106" i="7" s="1"/>
  <c r="F154" i="3"/>
  <c r="F154" i="7" s="1"/>
  <c r="F171" i="3"/>
  <c r="F201" i="3"/>
  <c r="F197" i="3"/>
  <c r="F94" i="3"/>
  <c r="F94" i="7" s="1"/>
  <c r="F27" i="3"/>
  <c r="F27" i="7" s="1"/>
  <c r="F168" i="3"/>
  <c r="F150" i="3"/>
  <c r="F150" i="7" s="1"/>
  <c r="F133" i="3"/>
  <c r="F133" i="7" s="1"/>
  <c r="F84" i="3"/>
  <c r="F84" i="7" s="1"/>
  <c r="F151" i="3"/>
  <c r="F151" i="7" s="1"/>
  <c r="F7" i="3"/>
  <c r="F7" i="7" s="1"/>
  <c r="F98" i="3"/>
  <c r="F98" i="7" s="1"/>
  <c r="F20" i="3"/>
  <c r="F20" i="7" s="1"/>
  <c r="F102" i="3"/>
  <c r="F102" i="7" s="1"/>
  <c r="F97" i="3"/>
  <c r="F97" i="7" s="1"/>
  <c r="F153" i="3"/>
  <c r="F153" i="7" s="1"/>
  <c r="F166" i="3"/>
  <c r="F72" i="3"/>
  <c r="F72" i="7" s="1"/>
  <c r="F77" i="3"/>
  <c r="F77" i="7" s="1"/>
  <c r="F73" i="3"/>
  <c r="F73" i="7" s="1"/>
  <c r="F75" i="3"/>
  <c r="F75" i="7" s="1"/>
  <c r="F32" i="3"/>
  <c r="F32" i="7" s="1"/>
  <c r="F107" i="3"/>
  <c r="F107" i="7" s="1"/>
  <c r="F196" i="3"/>
  <c r="F176" i="3"/>
  <c r="F228" i="3"/>
  <c r="F128" i="3"/>
  <c r="F128" i="7" s="1"/>
  <c r="F220" i="3"/>
  <c r="F25" i="3"/>
  <c r="F25" i="7" s="1"/>
  <c r="F46" i="3"/>
  <c r="F46" i="7" s="1"/>
  <c r="F70" i="3"/>
  <c r="F70" i="7" s="1"/>
  <c r="F23" i="3"/>
  <c r="F23" i="7" s="1"/>
  <c r="F10" i="3"/>
  <c r="F10" i="7" s="1"/>
  <c r="F5" i="3"/>
  <c r="F5" i="7" s="1"/>
  <c r="F216" i="3"/>
  <c r="F105" i="3"/>
  <c r="F105" i="7" s="1"/>
  <c r="F121" i="3"/>
  <c r="F121" i="7" s="1"/>
  <c r="F49" i="3"/>
  <c r="F49" i="7" s="1"/>
  <c r="F59" i="3"/>
  <c r="F59" i="7" s="1"/>
  <c r="F130" i="3"/>
  <c r="F130" i="7" s="1"/>
  <c r="F99" i="3"/>
  <c r="F99" i="7" s="1"/>
  <c r="F167" i="3"/>
  <c r="F169" i="3"/>
  <c r="F79" i="3"/>
  <c r="F79" i="7" s="1"/>
  <c r="F85" i="3"/>
  <c r="F85" i="7" s="1"/>
  <c r="F142" i="3"/>
  <c r="F142" i="7" s="1"/>
  <c r="F100" i="3"/>
  <c r="F100" i="7" s="1"/>
  <c r="F125" i="3"/>
  <c r="F125" i="7" s="1"/>
  <c r="F155" i="3"/>
  <c r="F155" i="7" s="1"/>
  <c r="F92" i="3"/>
  <c r="F92" i="7" s="1"/>
  <c r="F35" i="3"/>
  <c r="F35" i="7" s="1"/>
  <c r="F172" i="3"/>
  <c r="F56" i="3"/>
  <c r="F56" i="7" s="1"/>
  <c r="F120" i="3"/>
  <c r="F120" i="7" s="1"/>
  <c r="F55" i="3"/>
  <c r="F55" i="7" s="1"/>
  <c r="F136" i="3"/>
  <c r="F136" i="7" s="1"/>
  <c r="F78" i="3"/>
  <c r="F78" i="7" s="1"/>
  <c r="F205" i="3"/>
  <c r="F44" i="3"/>
  <c r="F44" i="7" s="1"/>
  <c r="F145" i="3"/>
  <c r="F145" i="7" s="1"/>
  <c r="F225" i="3"/>
  <c r="F144" i="3"/>
  <c r="F144" i="7" s="1"/>
  <c r="F160" i="3"/>
  <c r="F160" i="7" s="1"/>
  <c r="F108" i="3"/>
  <c r="F108" i="7" s="1"/>
  <c r="F123" i="3"/>
  <c r="F123" i="7" s="1"/>
  <c r="F34" i="3"/>
  <c r="F34" i="7" s="1"/>
  <c r="F132" i="3"/>
  <c r="F132" i="7" s="1"/>
  <c r="F24" i="3"/>
  <c r="F24" i="7" s="1"/>
  <c r="F83" i="3"/>
  <c r="F83" i="7" s="1"/>
  <c r="F54" i="3"/>
  <c r="F54" i="7" s="1"/>
  <c r="F109" i="3"/>
  <c r="F109" i="7" s="1"/>
  <c r="F28" i="3"/>
  <c r="F28" i="7" s="1"/>
  <c r="F140" i="3"/>
  <c r="F140" i="7" s="1"/>
  <c r="F221" i="3"/>
  <c r="F143" i="3"/>
  <c r="F143" i="7" s="1"/>
  <c r="F29" i="3"/>
  <c r="F29" i="7" s="1"/>
  <c r="F22" i="3"/>
  <c r="F22" i="7" s="1"/>
  <c r="F152" i="3"/>
  <c r="F152" i="7" s="1"/>
  <c r="F191" i="3"/>
  <c r="F131" i="3"/>
  <c r="F131" i="7" s="1"/>
  <c r="F188" i="3"/>
  <c r="F104" i="3"/>
  <c r="F104" i="7" s="1"/>
  <c r="F8" i="3"/>
  <c r="F8" i="7" s="1"/>
  <c r="F36" i="3"/>
  <c r="F36" i="7" s="1"/>
  <c r="F184" i="3"/>
  <c r="F37" i="3"/>
  <c r="F37" i="7" s="1"/>
  <c r="F126" i="3"/>
  <c r="F126" i="7" s="1"/>
  <c r="F60" i="3"/>
  <c r="F60" i="7" s="1"/>
  <c r="F103" i="3"/>
  <c r="F103" i="7" s="1"/>
  <c r="F157" i="3"/>
  <c r="F157" i="7" s="1"/>
  <c r="F76" i="3"/>
  <c r="F76" i="7" s="1"/>
  <c r="F227" i="3"/>
  <c r="F57" i="3"/>
  <c r="F57" i="7" s="1"/>
  <c r="F223" i="3"/>
  <c r="F112" i="3"/>
  <c r="F112" i="7" s="1"/>
  <c r="F129" i="3"/>
  <c r="F129" i="7" s="1"/>
  <c r="F71" i="3"/>
  <c r="F71" i="7" s="1"/>
  <c r="F48" i="3"/>
  <c r="F48" i="7" s="1"/>
  <c r="F9" i="3"/>
  <c r="F9" i="7" s="1"/>
  <c r="F52" i="3"/>
  <c r="F52" i="7" s="1"/>
  <c r="F68" i="3"/>
  <c r="F68" i="7" s="1"/>
  <c r="F127" i="3"/>
  <c r="F127" i="7" s="1"/>
  <c r="F146" i="3"/>
  <c r="F146" i="7" s="1"/>
  <c r="F95" i="3"/>
  <c r="F95" i="7" s="1"/>
  <c r="F74" i="3"/>
  <c r="F74" i="7" s="1"/>
  <c r="F215" i="3"/>
  <c r="F170" i="3"/>
  <c r="F30" i="3"/>
  <c r="F30" i="7" s="1"/>
  <c r="F47" i="3"/>
  <c r="F47" i="7" s="1"/>
  <c r="F119" i="3"/>
  <c r="F119" i="7" s="1"/>
  <c r="F61" i="3"/>
  <c r="F61" i="7" s="1"/>
  <c r="F101" i="3"/>
  <c r="F101" i="7" s="1"/>
  <c r="F96" i="3"/>
  <c r="F96" i="7" s="1"/>
  <c r="F224" i="3"/>
  <c r="F173" i="3"/>
  <c r="F26" i="3"/>
  <c r="F26" i="7" s="1"/>
  <c r="F122" i="3"/>
  <c r="F122" i="7" s="1"/>
  <c r="F58" i="3"/>
  <c r="F58" i="7" s="1"/>
  <c r="F198" i="3"/>
  <c r="F80" i="3"/>
  <c r="F80" i="7" s="1"/>
  <c r="H38" i="3"/>
  <c r="H38" i="7" s="1"/>
  <c r="H20" i="3"/>
  <c r="H20" i="7" s="1"/>
  <c r="H24" i="3"/>
  <c r="H24" i="7" s="1"/>
  <c r="H42" i="3"/>
  <c r="H42" i="7" s="1"/>
  <c r="H65" i="3"/>
  <c r="H65" i="7" s="1"/>
  <c r="H77" i="3"/>
  <c r="H77" i="7" s="1"/>
  <c r="H53" i="3"/>
  <c r="H53" i="7" s="1"/>
  <c r="H114" i="3"/>
  <c r="H114" i="7" s="1"/>
  <c r="H9" i="3"/>
  <c r="H9" i="7" s="1"/>
  <c r="H93" i="3"/>
  <c r="H93" i="7" s="1"/>
  <c r="H129" i="3"/>
  <c r="H129" i="7" s="1"/>
  <c r="H48" i="3"/>
  <c r="H48" i="7" s="1"/>
  <c r="H74" i="3"/>
  <c r="H74" i="7" s="1"/>
  <c r="H11" i="3"/>
  <c r="H11" i="7" s="1"/>
  <c r="H101" i="3"/>
  <c r="H101" i="7" s="1"/>
  <c r="H97" i="3"/>
  <c r="H97" i="7" s="1"/>
  <c r="H126" i="3"/>
  <c r="H126" i="7" s="1"/>
  <c r="H70" i="3"/>
  <c r="H70" i="7" s="1"/>
  <c r="H63" i="3"/>
  <c r="H63" i="7" s="1"/>
  <c r="H81" i="3"/>
  <c r="H81" i="7" s="1"/>
  <c r="H139" i="3"/>
  <c r="H139" i="7" s="1"/>
  <c r="H105" i="3"/>
  <c r="H105" i="7" s="1"/>
  <c r="H26" i="3"/>
  <c r="H26" i="7" s="1"/>
  <c r="H78" i="3"/>
  <c r="H78" i="7" s="1"/>
  <c r="H34" i="3"/>
  <c r="H34" i="7" s="1"/>
  <c r="H31" i="3"/>
  <c r="H31" i="7" s="1"/>
  <c r="H84" i="3"/>
  <c r="H84" i="7" s="1"/>
  <c r="H144" i="3"/>
  <c r="H144" i="7" s="1"/>
  <c r="H17" i="3"/>
  <c r="H17" i="7" s="1"/>
  <c r="H87" i="3"/>
  <c r="H87" i="7" s="1"/>
  <c r="H121" i="3"/>
  <c r="H121" i="7" s="1"/>
  <c r="H118" i="3"/>
  <c r="H118" i="7" s="1"/>
  <c r="H109" i="3"/>
  <c r="H109" i="7" s="1"/>
  <c r="H99" i="3"/>
  <c r="H99" i="7" s="1"/>
  <c r="H119" i="3"/>
  <c r="H119" i="7" s="1"/>
  <c r="H43" i="3"/>
  <c r="H43" i="7" s="1"/>
  <c r="H106" i="3"/>
  <c r="H106" i="7" s="1"/>
  <c r="H73" i="3"/>
  <c r="H73" i="7" s="1"/>
  <c r="H28" i="3"/>
  <c r="H28" i="7" s="1"/>
  <c r="H92" i="3"/>
  <c r="H92" i="7" s="1"/>
  <c r="H91" i="3"/>
  <c r="H91" i="7" s="1"/>
  <c r="H10" i="3"/>
  <c r="H10" i="7" s="1"/>
  <c r="H47" i="3"/>
  <c r="H47" i="7" s="1"/>
  <c r="H19" i="3"/>
  <c r="H19" i="7" s="1"/>
  <c r="H88" i="3"/>
  <c r="H88" i="7" s="1"/>
  <c r="H140" i="3"/>
  <c r="H140" i="7" s="1"/>
  <c r="H137" i="3"/>
  <c r="H137" i="7" s="1"/>
  <c r="H33" i="3"/>
  <c r="H33" i="7" s="1"/>
  <c r="H142" i="3"/>
  <c r="H142" i="7" s="1"/>
  <c r="H107" i="3"/>
  <c r="H107" i="7" s="1"/>
  <c r="H102" i="3"/>
  <c r="H102" i="7" s="1"/>
  <c r="H153" i="3"/>
  <c r="H153" i="7" s="1"/>
  <c r="H59" i="3"/>
  <c r="H59" i="7" s="1"/>
  <c r="H115" i="3"/>
  <c r="H115" i="7" s="1"/>
  <c r="H46" i="3"/>
  <c r="H46" i="7" s="1"/>
  <c r="H15" i="3"/>
  <c r="H15" i="7" s="1"/>
  <c r="H124" i="3"/>
  <c r="H124" i="7" s="1"/>
  <c r="H150" i="3"/>
  <c r="H150" i="7" s="1"/>
  <c r="H100" i="3"/>
  <c r="H100" i="7" s="1"/>
  <c r="H50" i="3"/>
  <c r="H50" i="7" s="1"/>
  <c r="H58" i="3"/>
  <c r="H58" i="7" s="1"/>
  <c r="H39" i="3"/>
  <c r="H39" i="7" s="1"/>
  <c r="H13" i="3"/>
  <c r="H13" i="7" s="1"/>
  <c r="H82" i="3"/>
  <c r="H82" i="7" s="1"/>
  <c r="H44" i="3"/>
  <c r="H44" i="7" s="1"/>
  <c r="H108" i="3"/>
  <c r="H108" i="7" s="1"/>
  <c r="H52" i="3"/>
  <c r="H52" i="7" s="1"/>
  <c r="H30" i="3"/>
  <c r="H30" i="7" s="1"/>
  <c r="H110" i="3"/>
  <c r="H110" i="7" s="1"/>
  <c r="H67" i="3"/>
  <c r="H67" i="7" s="1"/>
  <c r="H79" i="3"/>
  <c r="H79" i="7" s="1"/>
  <c r="H128" i="3"/>
  <c r="H128" i="7" s="1"/>
  <c r="H160" i="3"/>
  <c r="H160" i="7" s="1"/>
  <c r="H36" i="3"/>
  <c r="H36" i="7" s="1"/>
  <c r="H158" i="3"/>
  <c r="H158" i="7" s="1"/>
  <c r="H41" i="3"/>
  <c r="H41" i="7" s="1"/>
  <c r="H138" i="3"/>
  <c r="H138" i="7" s="1"/>
  <c r="H71" i="3"/>
  <c r="H71" i="7" s="1"/>
  <c r="H66" i="3"/>
  <c r="H66" i="7" s="1"/>
  <c r="H120" i="3"/>
  <c r="H120" i="7" s="1"/>
  <c r="H143" i="3"/>
  <c r="H143" i="7" s="1"/>
  <c r="H113" i="3"/>
  <c r="H113" i="7" s="1"/>
  <c r="H49" i="3"/>
  <c r="H49" i="7" s="1"/>
  <c r="H103" i="3"/>
  <c r="H103" i="7" s="1"/>
  <c r="H29" i="3"/>
  <c r="H29" i="7" s="1"/>
  <c r="H6" i="3"/>
  <c r="H6" i="7" s="1"/>
  <c r="H35" i="3"/>
  <c r="H35" i="7" s="1"/>
  <c r="H45" i="3"/>
  <c r="H45" i="7" s="1"/>
  <c r="H133" i="3"/>
  <c r="H133" i="7" s="1"/>
  <c r="H152" i="3"/>
  <c r="H152" i="7" s="1"/>
  <c r="H12" i="3"/>
  <c r="H12" i="7" s="1"/>
  <c r="H76" i="3"/>
  <c r="H76" i="7" s="1"/>
  <c r="H141" i="3"/>
  <c r="H141" i="7" s="1"/>
  <c r="H159" i="3"/>
  <c r="H159" i="7" s="1"/>
  <c r="H83" i="3"/>
  <c r="H83" i="7" s="1"/>
  <c r="H89" i="3"/>
  <c r="H89" i="7" s="1"/>
  <c r="H155" i="3"/>
  <c r="H155" i="7" s="1"/>
  <c r="H54" i="3"/>
  <c r="H54" i="7" s="1"/>
  <c r="H75" i="3"/>
  <c r="H75" i="7" s="1"/>
  <c r="H7" i="3"/>
  <c r="H7" i="7" s="1"/>
  <c r="H80" i="3"/>
  <c r="H80" i="7" s="1"/>
  <c r="H56" i="3"/>
  <c r="H56" i="7" s="1"/>
  <c r="H62" i="3"/>
  <c r="H62" i="7" s="1"/>
  <c r="H16" i="3"/>
  <c r="H16" i="7" s="1"/>
  <c r="H14" i="3"/>
  <c r="H14" i="7" s="1"/>
  <c r="H127" i="3"/>
  <c r="H127" i="7" s="1"/>
  <c r="H90" i="3"/>
  <c r="H90" i="7" s="1"/>
  <c r="H156" i="3"/>
  <c r="H156" i="7" s="1"/>
  <c r="H147" i="3"/>
  <c r="H147" i="7" s="1"/>
  <c r="H123" i="3"/>
  <c r="H123" i="7" s="1"/>
  <c r="H27" i="3"/>
  <c r="H27" i="7" s="1"/>
  <c r="H135" i="3"/>
  <c r="H135" i="7" s="1"/>
  <c r="H72" i="3"/>
  <c r="H72" i="7" s="1"/>
  <c r="H136" i="3"/>
  <c r="H136" i="7" s="1"/>
  <c r="H60" i="3"/>
  <c r="H60" i="7" s="1"/>
  <c r="H68" i="3"/>
  <c r="H68" i="7" s="1"/>
  <c r="H85" i="3"/>
  <c r="H85" i="7" s="1"/>
  <c r="H64" i="3"/>
  <c r="H64" i="7" s="1"/>
  <c r="H25" i="3"/>
  <c r="H25" i="7" s="1"/>
  <c r="H51" i="3"/>
  <c r="H51" i="7" s="1"/>
  <c r="H32" i="3"/>
  <c r="H32" i="7" s="1"/>
  <c r="H161" i="3"/>
  <c r="H161" i="7" s="1"/>
  <c r="H112" i="3"/>
  <c r="H112" i="7" s="1"/>
  <c r="H122" i="3"/>
  <c r="H122" i="7" s="1"/>
  <c r="H21" i="3"/>
  <c r="H21" i="7" s="1"/>
  <c r="H86" i="3"/>
  <c r="H86" i="7" s="1"/>
  <c r="H151" i="3"/>
  <c r="H151" i="7" s="1"/>
  <c r="H149" i="3"/>
  <c r="H149" i="7" s="1"/>
  <c r="H22" i="3"/>
  <c r="H22" i="7" s="1"/>
  <c r="H96" i="3"/>
  <c r="H96" i="7" s="1"/>
  <c r="H94" i="3"/>
  <c r="H94" i="7" s="1"/>
  <c r="H116" i="3"/>
  <c r="H116" i="7" s="1"/>
  <c r="H130" i="3"/>
  <c r="H130" i="7" s="1"/>
  <c r="H111" i="3"/>
  <c r="H111" i="7" s="1"/>
  <c r="H55" i="3"/>
  <c r="H55" i="7" s="1"/>
  <c r="H104" i="3"/>
  <c r="H104" i="7" s="1"/>
  <c r="H8" i="3"/>
  <c r="H8" i="7" s="1"/>
  <c r="H134" i="3"/>
  <c r="H134" i="7" s="1"/>
  <c r="H37" i="3"/>
  <c r="H37" i="7" s="1"/>
  <c r="H23" i="3"/>
  <c r="H23" i="7" s="1"/>
  <c r="H18" i="3"/>
  <c r="H18" i="7" s="1"/>
  <c r="H146" i="3"/>
  <c r="H146" i="7" s="1"/>
  <c r="H132" i="3"/>
  <c r="H132" i="7" s="1"/>
  <c r="H57" i="3"/>
  <c r="H57" i="7" s="1"/>
  <c r="H61" i="3"/>
  <c r="H61" i="7" s="1"/>
  <c r="H69" i="3"/>
  <c r="H69" i="7" s="1"/>
  <c r="H131" i="3"/>
  <c r="H131" i="7" s="1"/>
  <c r="H154" i="3"/>
  <c r="H154" i="7" s="1"/>
  <c r="H148" i="3"/>
  <c r="H148" i="7" s="1"/>
  <c r="H145" i="3"/>
  <c r="H145" i="7" s="1"/>
  <c r="H95" i="3"/>
  <c r="H95" i="7" s="1"/>
  <c r="H117" i="3"/>
  <c r="H117" i="7" s="1"/>
  <c r="H40" i="3"/>
  <c r="H40" i="7" s="1"/>
  <c r="H157" i="3"/>
  <c r="H157" i="7" s="1"/>
  <c r="H98" i="3"/>
  <c r="H98" i="7" s="1"/>
  <c r="H125" i="3"/>
  <c r="H125" i="7" s="1"/>
  <c r="F162" i="3"/>
  <c r="F162" i="7" s="1"/>
  <c r="C53" i="5"/>
  <c r="B53" i="3" s="1"/>
  <c r="B53" i="7" s="1"/>
  <c r="E2" i="5"/>
  <c r="C26" i="5"/>
  <c r="B26" i="3" s="1"/>
  <c r="B26" i="7" s="1"/>
  <c r="C76" i="5"/>
  <c r="B76" i="3" s="1"/>
  <c r="B76" i="7" s="1"/>
  <c r="C124" i="5"/>
  <c r="B124" i="3" s="1"/>
  <c r="B124" i="7" s="1"/>
  <c r="C77" i="5"/>
  <c r="B77" i="3" s="1"/>
  <c r="B77" i="7" s="1"/>
  <c r="C33" i="5"/>
  <c r="B33" i="3" s="1"/>
  <c r="B33" i="7" s="1"/>
  <c r="C104" i="5"/>
  <c r="B104" i="3" s="1"/>
  <c r="B104" i="7" s="1"/>
  <c r="J4" i="3"/>
  <c r="J4" i="7" s="1"/>
  <c r="I4" i="3"/>
  <c r="I4" i="7" s="1"/>
  <c r="F4" i="3"/>
  <c r="F4" i="7" s="1"/>
  <c r="C123" i="5"/>
  <c r="B123" i="3" s="1"/>
  <c r="B123" i="7" s="1"/>
  <c r="I5" i="3"/>
  <c r="I5" i="7" s="1"/>
  <c r="C50" i="5"/>
  <c r="B50" i="3" s="1"/>
  <c r="B50" i="7" s="1"/>
  <c r="C98" i="5"/>
  <c r="B98" i="3" s="1"/>
  <c r="B98" i="7" s="1"/>
  <c r="J5" i="3"/>
  <c r="J5" i="7" s="1"/>
  <c r="K5" i="3"/>
  <c r="K5" i="7" s="1"/>
  <c r="K4" i="3"/>
  <c r="K4" i="7" s="1"/>
  <c r="C55" i="5"/>
  <c r="B55" i="3" s="1"/>
  <c r="B55" i="7" s="1"/>
  <c r="C74" i="5"/>
  <c r="B74" i="3" s="1"/>
  <c r="B74" i="7" s="1"/>
  <c r="C79" i="5"/>
  <c r="B79" i="3" s="1"/>
  <c r="B79" i="7" s="1"/>
  <c r="C103" i="5"/>
  <c r="B103" i="3" s="1"/>
  <c r="B103" i="7" s="1"/>
  <c r="C147" i="5"/>
  <c r="B147" i="3" s="1"/>
  <c r="B147" i="7" s="1"/>
  <c r="K6" i="3"/>
  <c r="K6" i="7" s="1"/>
  <c r="I6" i="3"/>
  <c r="I6" i="7" s="1"/>
  <c r="C57" i="5"/>
  <c r="B57" i="3" s="1"/>
  <c r="B57" i="7" s="1"/>
  <c r="C22" i="5"/>
  <c r="B22" i="3" s="1"/>
  <c r="B22" i="7" s="1"/>
  <c r="C129" i="5"/>
  <c r="B129" i="3" s="1"/>
  <c r="B129" i="7" s="1"/>
  <c r="C52" i="5"/>
  <c r="B52" i="3" s="1"/>
  <c r="B52" i="7" s="1"/>
  <c r="C122" i="5"/>
  <c r="B122" i="3" s="1"/>
  <c r="B122" i="7" s="1"/>
  <c r="C6" i="5"/>
  <c r="B6" i="3" s="1"/>
  <c r="B6" i="7" s="1"/>
  <c r="C51" i="5"/>
  <c r="B51" i="3" s="1"/>
  <c r="B51" i="7" s="1"/>
  <c r="C153" i="5"/>
  <c r="B153" i="3" s="1"/>
  <c r="B153" i="7" s="1"/>
  <c r="C81" i="5"/>
  <c r="B81" i="3" s="1"/>
  <c r="B81" i="7" s="1"/>
  <c r="C121" i="5"/>
  <c r="B121" i="3" s="1"/>
  <c r="B121" i="7" s="1"/>
  <c r="C80" i="5"/>
  <c r="B80" i="3" s="1"/>
  <c r="B80" i="7" s="1"/>
  <c r="C75" i="5"/>
  <c r="B75" i="3" s="1"/>
  <c r="B75" i="7" s="1"/>
  <c r="C29" i="5"/>
  <c r="B29" i="3" s="1"/>
  <c r="B29" i="7" s="1"/>
  <c r="C146" i="5"/>
  <c r="B146" i="3" s="1"/>
  <c r="B146" i="7" s="1"/>
  <c r="C97" i="5"/>
  <c r="B97" i="3" s="1"/>
  <c r="B97" i="7" s="1"/>
  <c r="C99" i="5"/>
  <c r="B99" i="3" s="1"/>
  <c r="B99" i="7" s="1"/>
  <c r="I73" i="3"/>
  <c r="I73" i="7" s="1"/>
  <c r="I151" i="3"/>
  <c r="I151" i="7" s="1"/>
  <c r="I86" i="3"/>
  <c r="I86" i="7" s="1"/>
  <c r="I64" i="3"/>
  <c r="I64" i="7" s="1"/>
  <c r="I53" i="3"/>
  <c r="I53" i="7" s="1"/>
  <c r="I79" i="3"/>
  <c r="I79" i="7" s="1"/>
  <c r="I99" i="3"/>
  <c r="I99" i="7" s="1"/>
  <c r="J137" i="3"/>
  <c r="J137" i="7" s="1"/>
  <c r="K31" i="3"/>
  <c r="K31" i="7" s="1"/>
  <c r="K152" i="3"/>
  <c r="K152" i="7" s="1"/>
  <c r="K68" i="3"/>
  <c r="K68" i="7" s="1"/>
  <c r="J107" i="3"/>
  <c r="J107" i="7" s="1"/>
  <c r="J109" i="3"/>
  <c r="J109" i="7" s="1"/>
  <c r="K148" i="3"/>
  <c r="K148" i="7" s="1"/>
  <c r="K107" i="3"/>
  <c r="K107" i="7" s="1"/>
  <c r="J88" i="3"/>
  <c r="J88" i="7" s="1"/>
  <c r="J154" i="3"/>
  <c r="J154" i="7" s="1"/>
  <c r="J29" i="3"/>
  <c r="J29" i="7" s="1"/>
  <c r="K114" i="3"/>
  <c r="K114" i="7" s="1"/>
  <c r="J131" i="3"/>
  <c r="J131" i="7" s="1"/>
  <c r="K64" i="3"/>
  <c r="K64" i="7" s="1"/>
  <c r="K156" i="3"/>
  <c r="K156" i="7" s="1"/>
  <c r="K96" i="3"/>
  <c r="K96" i="7" s="1"/>
  <c r="I145" i="3"/>
  <c r="I145" i="7" s="1"/>
  <c r="I15" i="3"/>
  <c r="I15" i="7" s="1"/>
  <c r="I116" i="3"/>
  <c r="I116" i="7" s="1"/>
  <c r="K14" i="3"/>
  <c r="K14" i="7" s="1"/>
  <c r="J155" i="3"/>
  <c r="J155" i="7" s="1"/>
  <c r="J39" i="3"/>
  <c r="J39" i="7" s="1"/>
  <c r="J152" i="3"/>
  <c r="J152" i="7" s="1"/>
  <c r="K123" i="3"/>
  <c r="K123" i="7" s="1"/>
  <c r="I44" i="3"/>
  <c r="I44" i="7" s="1"/>
  <c r="J20" i="3"/>
  <c r="J20" i="7" s="1"/>
  <c r="K72" i="3"/>
  <c r="K72" i="7" s="1"/>
  <c r="K21" i="3"/>
  <c r="K21" i="7" s="1"/>
  <c r="J33" i="3"/>
  <c r="J33" i="7" s="1"/>
  <c r="K66" i="3"/>
  <c r="K66" i="7" s="1"/>
  <c r="I91" i="3"/>
  <c r="I91" i="7" s="1"/>
  <c r="I65" i="3"/>
  <c r="I65" i="7" s="1"/>
  <c r="K151" i="3"/>
  <c r="K151" i="7" s="1"/>
  <c r="K12" i="3"/>
  <c r="K12" i="7" s="1"/>
  <c r="K84" i="3"/>
  <c r="K84" i="7" s="1"/>
  <c r="J93" i="3"/>
  <c r="J93" i="7" s="1"/>
  <c r="J34" i="3"/>
  <c r="J34" i="7" s="1"/>
  <c r="J104" i="3"/>
  <c r="J104" i="7" s="1"/>
  <c r="I105" i="3"/>
  <c r="I105" i="7" s="1"/>
  <c r="K41" i="3"/>
  <c r="K41" i="7" s="1"/>
  <c r="K52" i="3"/>
  <c r="K52" i="7" s="1"/>
  <c r="J94" i="3"/>
  <c r="J94" i="7" s="1"/>
  <c r="J157" i="3"/>
  <c r="J157" i="7" s="1"/>
  <c r="I133" i="3"/>
  <c r="I133" i="7" s="1"/>
  <c r="I131" i="3"/>
  <c r="I131" i="7" s="1"/>
  <c r="I22" i="3"/>
  <c r="I22" i="7" s="1"/>
  <c r="K78" i="3"/>
  <c r="K78" i="7" s="1"/>
  <c r="J50" i="3"/>
  <c r="J50" i="7" s="1"/>
  <c r="J144" i="3"/>
  <c r="J144" i="7" s="1"/>
  <c r="I157" i="3"/>
  <c r="I157" i="7" s="1"/>
  <c r="I7" i="3"/>
  <c r="I7" i="7" s="1"/>
  <c r="I101" i="3"/>
  <c r="I101" i="7" s="1"/>
  <c r="J116" i="3"/>
  <c r="J116" i="7" s="1"/>
  <c r="J54" i="3"/>
  <c r="J54" i="7" s="1"/>
  <c r="J52" i="3"/>
  <c r="J52" i="7" s="1"/>
  <c r="J125" i="3"/>
  <c r="J125" i="7" s="1"/>
  <c r="I158" i="3"/>
  <c r="I158" i="7" s="1"/>
  <c r="K126" i="3"/>
  <c r="K126" i="7" s="1"/>
  <c r="J106" i="3"/>
  <c r="J106" i="7" s="1"/>
  <c r="K18" i="3"/>
  <c r="K18" i="7" s="1"/>
  <c r="J85" i="3"/>
  <c r="J85" i="7" s="1"/>
  <c r="I134" i="3"/>
  <c r="I134" i="7" s="1"/>
  <c r="I11" i="3"/>
  <c r="I11" i="7" s="1"/>
  <c r="J43" i="3"/>
  <c r="J43" i="7" s="1"/>
  <c r="K162" i="3"/>
  <c r="K162" i="7" s="1"/>
  <c r="J8" i="3"/>
  <c r="J8" i="7" s="1"/>
  <c r="K118" i="3"/>
  <c r="K118" i="7" s="1"/>
  <c r="J13" i="3"/>
  <c r="J13" i="7" s="1"/>
  <c r="I92" i="3"/>
  <c r="I92" i="7" s="1"/>
  <c r="I46" i="3"/>
  <c r="I46" i="7" s="1"/>
  <c r="K76" i="3"/>
  <c r="K76" i="7" s="1"/>
  <c r="J147" i="3"/>
  <c r="J147" i="7" s="1"/>
  <c r="I30" i="3"/>
  <c r="I30" i="7" s="1"/>
  <c r="I103" i="3"/>
  <c r="I103" i="7" s="1"/>
  <c r="J162" i="3"/>
  <c r="J162" i="7" s="1"/>
  <c r="K100" i="3"/>
  <c r="K100" i="7" s="1"/>
  <c r="J26" i="3"/>
  <c r="J26" i="7" s="1"/>
  <c r="J129" i="3"/>
  <c r="J129" i="7" s="1"/>
  <c r="I132" i="3"/>
  <c r="I132" i="7" s="1"/>
  <c r="I148" i="3"/>
  <c r="I148" i="7" s="1"/>
  <c r="I97" i="3"/>
  <c r="I97" i="7" s="1"/>
  <c r="I40" i="3"/>
  <c r="I40" i="7" s="1"/>
  <c r="I107" i="3"/>
  <c r="I107" i="7" s="1"/>
  <c r="I114" i="3"/>
  <c r="I114" i="7" s="1"/>
  <c r="I143" i="3"/>
  <c r="I143" i="7" s="1"/>
  <c r="I162" i="3"/>
  <c r="I162" i="7" s="1"/>
  <c r="J161" i="3"/>
  <c r="J161" i="7" s="1"/>
  <c r="K55" i="3"/>
  <c r="K55" i="7" s="1"/>
  <c r="K97" i="3"/>
  <c r="K97" i="7" s="1"/>
  <c r="J135" i="3"/>
  <c r="J135" i="7" s="1"/>
  <c r="K46" i="3"/>
  <c r="K46" i="7" s="1"/>
  <c r="J32" i="3"/>
  <c r="J32" i="7" s="1"/>
  <c r="J148" i="3"/>
  <c r="J148" i="7" s="1"/>
  <c r="K61" i="3"/>
  <c r="K61" i="7" s="1"/>
  <c r="J145" i="3"/>
  <c r="J145" i="7" s="1"/>
  <c r="K143" i="3"/>
  <c r="K143" i="7" s="1"/>
  <c r="J36" i="3"/>
  <c r="J36" i="7" s="1"/>
  <c r="J102" i="3"/>
  <c r="J102" i="7" s="1"/>
  <c r="J72" i="3"/>
  <c r="J72" i="7" s="1"/>
  <c r="I37" i="3"/>
  <c r="I37" i="7" s="1"/>
  <c r="I129" i="3"/>
  <c r="I129" i="7" s="1"/>
  <c r="I21" i="3"/>
  <c r="I21" i="7" s="1"/>
  <c r="K103" i="3"/>
  <c r="K103" i="7" s="1"/>
  <c r="K37" i="3"/>
  <c r="K37" i="7" s="1"/>
  <c r="J103" i="3"/>
  <c r="J103" i="7" s="1"/>
  <c r="I61" i="3"/>
  <c r="I61" i="7" s="1"/>
  <c r="I80" i="3"/>
  <c r="I80" i="7" s="1"/>
  <c r="I100" i="3"/>
  <c r="I100" i="7" s="1"/>
  <c r="K127" i="3"/>
  <c r="K127" i="7" s="1"/>
  <c r="K25" i="3"/>
  <c r="K25" i="7" s="1"/>
  <c r="K122" i="3"/>
  <c r="K122" i="7" s="1"/>
  <c r="J49" i="3"/>
  <c r="J49" i="7" s="1"/>
  <c r="I85" i="3"/>
  <c r="I85" i="7" s="1"/>
  <c r="I147" i="3"/>
  <c r="I147" i="7" s="1"/>
  <c r="K30" i="3"/>
  <c r="K30" i="7" s="1"/>
  <c r="J57" i="3"/>
  <c r="J57" i="7" s="1"/>
  <c r="K154" i="3"/>
  <c r="K154" i="7" s="1"/>
  <c r="K117" i="3"/>
  <c r="K117" i="7" s="1"/>
  <c r="J156" i="3"/>
  <c r="J156" i="7" s="1"/>
  <c r="I123" i="3"/>
  <c r="I123" i="7" s="1"/>
  <c r="I42" i="3"/>
  <c r="I42" i="7" s="1"/>
  <c r="I110" i="3"/>
  <c r="I110" i="7" s="1"/>
  <c r="K54" i="3"/>
  <c r="K54" i="7" s="1"/>
  <c r="J22" i="3"/>
  <c r="J22" i="7" s="1"/>
  <c r="J117" i="3"/>
  <c r="J117" i="7" s="1"/>
  <c r="J146" i="3"/>
  <c r="J146" i="7" s="1"/>
  <c r="J100" i="3"/>
  <c r="J100" i="7" s="1"/>
  <c r="I26" i="3"/>
  <c r="I26" i="7" s="1"/>
  <c r="I136" i="3"/>
  <c r="I136" i="7" s="1"/>
  <c r="J92" i="3"/>
  <c r="J92" i="7" s="1"/>
  <c r="K11" i="3"/>
  <c r="K11" i="7" s="1"/>
  <c r="K120" i="3"/>
  <c r="K120" i="7" s="1"/>
  <c r="J37" i="3"/>
  <c r="J37" i="7" s="1"/>
  <c r="I50" i="3"/>
  <c r="I50" i="7" s="1"/>
  <c r="I87" i="3"/>
  <c r="I87" i="7" s="1"/>
  <c r="K99" i="3"/>
  <c r="K99" i="7" s="1"/>
  <c r="J151" i="3"/>
  <c r="J151" i="7" s="1"/>
  <c r="J62" i="3"/>
  <c r="J62" i="7" s="1"/>
  <c r="J150" i="3"/>
  <c r="J150" i="7" s="1"/>
  <c r="K130" i="3"/>
  <c r="K130" i="7" s="1"/>
  <c r="I74" i="3"/>
  <c r="I74" i="7" s="1"/>
  <c r="J19" i="3"/>
  <c r="J19" i="7" s="1"/>
  <c r="K133" i="3"/>
  <c r="K133" i="7" s="1"/>
  <c r="K58" i="3"/>
  <c r="K58" i="7" s="1"/>
  <c r="K115" i="3"/>
  <c r="K115" i="7" s="1"/>
  <c r="J48" i="3"/>
  <c r="J48" i="7" s="1"/>
  <c r="I63" i="3"/>
  <c r="I63" i="7" s="1"/>
  <c r="K150" i="3"/>
  <c r="K150" i="7" s="1"/>
  <c r="J134" i="3"/>
  <c r="J134" i="7" s="1"/>
  <c r="K110" i="3"/>
  <c r="K110" i="7" s="1"/>
  <c r="J59" i="3"/>
  <c r="J59" i="7" s="1"/>
  <c r="I122" i="3"/>
  <c r="I122" i="7" s="1"/>
  <c r="I16" i="3"/>
  <c r="I16" i="7" s="1"/>
  <c r="I70" i="3"/>
  <c r="I70" i="7" s="1"/>
  <c r="J67" i="3"/>
  <c r="J67" i="7" s="1"/>
  <c r="J124" i="3"/>
  <c r="J124" i="7" s="1"/>
  <c r="K23" i="3"/>
  <c r="K23" i="7" s="1"/>
  <c r="K157" i="3"/>
  <c r="K157" i="7" s="1"/>
  <c r="I81" i="3"/>
  <c r="I81" i="7" s="1"/>
  <c r="I95" i="3"/>
  <c r="I95" i="7" s="1"/>
  <c r="J41" i="3"/>
  <c r="J41" i="7" s="1"/>
  <c r="K89" i="3"/>
  <c r="K89" i="7" s="1"/>
  <c r="I59" i="3"/>
  <c r="I59" i="7" s="1"/>
  <c r="I9" i="3"/>
  <c r="I9" i="7" s="1"/>
  <c r="I121" i="3"/>
  <c r="I121" i="7" s="1"/>
  <c r="I13" i="3"/>
  <c r="I13" i="7" s="1"/>
  <c r="I82" i="3"/>
  <c r="I82" i="7" s="1"/>
  <c r="I149" i="3"/>
  <c r="I149" i="7" s="1"/>
  <c r="K79" i="3"/>
  <c r="K79" i="7" s="1"/>
  <c r="K131" i="3"/>
  <c r="K131" i="7" s="1"/>
  <c r="K138" i="3"/>
  <c r="K138" i="7" s="1"/>
  <c r="J120" i="3"/>
  <c r="J120" i="7" s="1"/>
  <c r="J71" i="3"/>
  <c r="J71" i="7" s="1"/>
  <c r="K142" i="3"/>
  <c r="K142" i="7" s="1"/>
  <c r="K47" i="3"/>
  <c r="K47" i="7" s="1"/>
  <c r="J96" i="3"/>
  <c r="J96" i="7" s="1"/>
  <c r="J132" i="3"/>
  <c r="J132" i="7" s="1"/>
  <c r="K158" i="3"/>
  <c r="K158" i="7" s="1"/>
  <c r="I31" i="3"/>
  <c r="I31" i="7" s="1"/>
  <c r="I35" i="3"/>
  <c r="I35" i="7" s="1"/>
  <c r="K160" i="3"/>
  <c r="K160" i="7" s="1"/>
  <c r="J83" i="3"/>
  <c r="J83" i="7" s="1"/>
  <c r="K139" i="3"/>
  <c r="K139" i="7" s="1"/>
  <c r="J21" i="3"/>
  <c r="J21" i="7" s="1"/>
  <c r="I62" i="3"/>
  <c r="I62" i="7" s="1"/>
  <c r="I19" i="3"/>
  <c r="I19" i="7" s="1"/>
  <c r="K28" i="3"/>
  <c r="K28" i="7" s="1"/>
  <c r="J127" i="3"/>
  <c r="J127" i="7" s="1"/>
  <c r="I76" i="3"/>
  <c r="I76" i="7" s="1"/>
  <c r="J44" i="3"/>
  <c r="J44" i="7" s="1"/>
  <c r="K106" i="3"/>
  <c r="K106" i="7" s="1"/>
  <c r="K74" i="3"/>
  <c r="K74" i="7" s="1"/>
  <c r="J58" i="3"/>
  <c r="J58" i="7" s="1"/>
  <c r="I109" i="3"/>
  <c r="I109" i="7" s="1"/>
  <c r="J68" i="3"/>
  <c r="J68" i="7" s="1"/>
  <c r="J12" i="3"/>
  <c r="J12" i="7" s="1"/>
  <c r="K91" i="3"/>
  <c r="K91" i="7" s="1"/>
  <c r="K67" i="3"/>
  <c r="K67" i="7" s="1"/>
  <c r="I152" i="3"/>
  <c r="I152" i="7" s="1"/>
  <c r="I155" i="3"/>
  <c r="I155" i="7" s="1"/>
  <c r="I38" i="3"/>
  <c r="I38" i="7" s="1"/>
  <c r="K70" i="3"/>
  <c r="K70" i="7" s="1"/>
  <c r="J7" i="3"/>
  <c r="J7" i="7" s="1"/>
  <c r="K22" i="3"/>
  <c r="K22" i="7" s="1"/>
  <c r="J122" i="3"/>
  <c r="J122" i="7" s="1"/>
  <c r="J46" i="3"/>
  <c r="J46" i="7" s="1"/>
  <c r="K102" i="3"/>
  <c r="K102" i="7" s="1"/>
  <c r="J78" i="3"/>
  <c r="J78" i="7" s="1"/>
  <c r="K75" i="3"/>
  <c r="K75" i="7" s="1"/>
  <c r="K48" i="3"/>
  <c r="K48" i="7" s="1"/>
  <c r="I29" i="3"/>
  <c r="I29" i="7" s="1"/>
  <c r="I52" i="3"/>
  <c r="I52" i="7" s="1"/>
  <c r="J140" i="3"/>
  <c r="J140" i="7" s="1"/>
  <c r="J82" i="3"/>
  <c r="J82" i="7" s="1"/>
  <c r="J141" i="3"/>
  <c r="J141" i="7" s="1"/>
  <c r="K26" i="3"/>
  <c r="K26" i="7" s="1"/>
  <c r="J128" i="3"/>
  <c r="J128" i="7" s="1"/>
  <c r="I98" i="3"/>
  <c r="I98" i="7" s="1"/>
  <c r="I58" i="3"/>
  <c r="I58" i="7" s="1"/>
  <c r="I113" i="3"/>
  <c r="I113" i="7" s="1"/>
  <c r="I8" i="3"/>
  <c r="I8" i="7" s="1"/>
  <c r="K29" i="3"/>
  <c r="K29" i="7" s="1"/>
  <c r="J142" i="3"/>
  <c r="J142" i="7" s="1"/>
  <c r="K42" i="3"/>
  <c r="K42" i="7" s="1"/>
  <c r="J63" i="3"/>
  <c r="J63" i="7" s="1"/>
  <c r="I89" i="3"/>
  <c r="I89" i="7" s="1"/>
  <c r="I23" i="3"/>
  <c r="I23" i="7" s="1"/>
  <c r="K53" i="3"/>
  <c r="K53" i="7" s="1"/>
  <c r="K71" i="3"/>
  <c r="K71" i="7" s="1"/>
  <c r="K15" i="3"/>
  <c r="K15" i="7" s="1"/>
  <c r="J10" i="3"/>
  <c r="J10" i="7" s="1"/>
  <c r="J14" i="3"/>
  <c r="J14" i="7" s="1"/>
  <c r="I108" i="3"/>
  <c r="I108" i="7" s="1"/>
  <c r="I43" i="3"/>
  <c r="I43" i="7" s="1"/>
  <c r="I138" i="3"/>
  <c r="I138" i="7" s="1"/>
  <c r="K56" i="3"/>
  <c r="K56" i="7" s="1"/>
  <c r="J28" i="3"/>
  <c r="J28" i="7" s="1"/>
  <c r="K49" i="3"/>
  <c r="K49" i="7" s="1"/>
  <c r="J149" i="3"/>
  <c r="J149" i="7" s="1"/>
  <c r="J77" i="3"/>
  <c r="J77" i="7" s="1"/>
  <c r="I128" i="3"/>
  <c r="I128" i="7" s="1"/>
  <c r="I161" i="3"/>
  <c r="I161" i="7" s="1"/>
  <c r="I146" i="3"/>
  <c r="I146" i="7" s="1"/>
  <c r="I118" i="3"/>
  <c r="I118" i="7" s="1"/>
  <c r="I124" i="3"/>
  <c r="I124" i="7" s="1"/>
  <c r="I45" i="3"/>
  <c r="I45" i="7" s="1"/>
  <c r="I55" i="3"/>
  <c r="I55" i="7" s="1"/>
  <c r="I88" i="3"/>
  <c r="I88" i="7" s="1"/>
  <c r="I47" i="3"/>
  <c r="I47" i="7" s="1"/>
  <c r="K77" i="3"/>
  <c r="K77" i="7" s="1"/>
  <c r="J91" i="3"/>
  <c r="J91" i="7" s="1"/>
  <c r="K73" i="3"/>
  <c r="K73" i="7" s="1"/>
  <c r="J30" i="3"/>
  <c r="J30" i="7" s="1"/>
  <c r="K134" i="3"/>
  <c r="K134" i="7" s="1"/>
  <c r="K87" i="3"/>
  <c r="K87" i="7" s="1"/>
  <c r="J27" i="3"/>
  <c r="J27" i="7" s="1"/>
  <c r="J60" i="3"/>
  <c r="J60" i="7" s="1"/>
  <c r="K86" i="3"/>
  <c r="K86" i="7" s="1"/>
  <c r="J98" i="3"/>
  <c r="J98" i="7" s="1"/>
  <c r="K65" i="3"/>
  <c r="K65" i="7" s="1"/>
  <c r="J73" i="3"/>
  <c r="J73" i="7" s="1"/>
  <c r="K95" i="3"/>
  <c r="K95" i="7" s="1"/>
  <c r="I24" i="3"/>
  <c r="I24" i="7" s="1"/>
  <c r="I150" i="3"/>
  <c r="I150" i="7" s="1"/>
  <c r="I153" i="3"/>
  <c r="I153" i="7" s="1"/>
  <c r="I77" i="3"/>
  <c r="I77" i="7" s="1"/>
  <c r="I41" i="3"/>
  <c r="I41" i="7" s="1"/>
  <c r="I56" i="3"/>
  <c r="I56" i="7" s="1"/>
  <c r="I71" i="3"/>
  <c r="I71" i="7" s="1"/>
  <c r="I159" i="3"/>
  <c r="I159" i="7" s="1"/>
  <c r="I78" i="3"/>
  <c r="I78" i="7" s="1"/>
  <c r="K101" i="3"/>
  <c r="K101" i="7" s="1"/>
  <c r="J115" i="3"/>
  <c r="J115" i="7" s="1"/>
  <c r="K9" i="3"/>
  <c r="K9" i="7" s="1"/>
  <c r="J24" i="3"/>
  <c r="J24" i="7" s="1"/>
  <c r="K136" i="3"/>
  <c r="K136" i="7" s="1"/>
  <c r="J118" i="3"/>
  <c r="J118" i="7" s="1"/>
  <c r="K59" i="3"/>
  <c r="K59" i="7" s="1"/>
  <c r="J86" i="3"/>
  <c r="J86" i="7" s="1"/>
  <c r="J64" i="3"/>
  <c r="J64" i="7" s="1"/>
  <c r="J143" i="3"/>
  <c r="J143" i="7" s="1"/>
  <c r="K144" i="3"/>
  <c r="K144" i="7" s="1"/>
  <c r="K35" i="3"/>
  <c r="K35" i="7" s="1"/>
  <c r="J16" i="3"/>
  <c r="J16" i="7" s="1"/>
  <c r="I48" i="3"/>
  <c r="I48" i="7" s="1"/>
  <c r="I106" i="3"/>
  <c r="I106" i="7" s="1"/>
  <c r="I83" i="3"/>
  <c r="I83" i="7" s="1"/>
  <c r="I54" i="3"/>
  <c r="I54" i="7" s="1"/>
  <c r="I51" i="3"/>
  <c r="I51" i="7" s="1"/>
  <c r="K125" i="3"/>
  <c r="K125" i="7" s="1"/>
  <c r="J18" i="3"/>
  <c r="J18" i="7" s="1"/>
  <c r="J139" i="3"/>
  <c r="J139" i="7" s="1"/>
  <c r="K33" i="3"/>
  <c r="K33" i="7" s="1"/>
  <c r="K40" i="3"/>
  <c r="K40" i="7" s="1"/>
  <c r="J80" i="3"/>
  <c r="J80" i="7" s="1"/>
  <c r="K146" i="3"/>
  <c r="K146" i="7" s="1"/>
  <c r="J25" i="3"/>
  <c r="J25" i="7" s="1"/>
  <c r="K82" i="3"/>
  <c r="K82" i="7" s="1"/>
  <c r="K50" i="3"/>
  <c r="K50" i="7" s="1"/>
  <c r="K90" i="3"/>
  <c r="K90" i="7" s="1"/>
  <c r="K121" i="3"/>
  <c r="K121" i="7" s="1"/>
  <c r="I72" i="3"/>
  <c r="I72" i="7" s="1"/>
  <c r="I137" i="3"/>
  <c r="I137" i="7" s="1"/>
  <c r="I130" i="3"/>
  <c r="I130" i="7" s="1"/>
  <c r="I66" i="3"/>
  <c r="I66" i="7" s="1"/>
  <c r="I115" i="3"/>
  <c r="I115" i="7" s="1"/>
  <c r="I27" i="3"/>
  <c r="I27" i="7" s="1"/>
  <c r="I102" i="3"/>
  <c r="I102" i="7" s="1"/>
  <c r="K149" i="3"/>
  <c r="K149" i="7" s="1"/>
  <c r="J42" i="3"/>
  <c r="J42" i="7" s="1"/>
  <c r="K57" i="3"/>
  <c r="K57" i="7" s="1"/>
  <c r="K69" i="3"/>
  <c r="K69" i="7" s="1"/>
  <c r="J108" i="3"/>
  <c r="J108" i="7" s="1"/>
  <c r="J55" i="3"/>
  <c r="J55" i="7" s="1"/>
  <c r="J9" i="3"/>
  <c r="J9" i="7" s="1"/>
  <c r="J81" i="3"/>
  <c r="J81" i="7" s="1"/>
  <c r="K140" i="3"/>
  <c r="K140" i="7" s="1"/>
  <c r="K88" i="3"/>
  <c r="K88" i="7" s="1"/>
  <c r="K113" i="3"/>
  <c r="K113" i="7" s="1"/>
  <c r="K119" i="3"/>
  <c r="K119" i="7" s="1"/>
  <c r="J75" i="3"/>
  <c r="J75" i="7" s="1"/>
  <c r="J133" i="3"/>
  <c r="J133" i="7" s="1"/>
  <c r="I96" i="3"/>
  <c r="I96" i="7" s="1"/>
  <c r="I12" i="3"/>
  <c r="I12" i="7" s="1"/>
  <c r="I32" i="3"/>
  <c r="I32" i="7" s="1"/>
  <c r="I93" i="3"/>
  <c r="I93" i="7" s="1"/>
  <c r="I94" i="3"/>
  <c r="I94" i="7" s="1"/>
  <c r="I111" i="3"/>
  <c r="I111" i="7" s="1"/>
  <c r="J66" i="3"/>
  <c r="J66" i="7" s="1"/>
  <c r="K81" i="3"/>
  <c r="K81" i="7" s="1"/>
  <c r="K98" i="3"/>
  <c r="K98" i="7" s="1"/>
  <c r="J136" i="3"/>
  <c r="J136" i="7" s="1"/>
  <c r="J111" i="3"/>
  <c r="J111" i="7" s="1"/>
  <c r="K19" i="3"/>
  <c r="K19" i="7" s="1"/>
  <c r="J97" i="3"/>
  <c r="J97" i="7" s="1"/>
  <c r="K45" i="3"/>
  <c r="K45" i="7" s="1"/>
  <c r="J35" i="3"/>
  <c r="J35" i="7" s="1"/>
  <c r="J11" i="3"/>
  <c r="J11" i="7" s="1"/>
  <c r="J40" i="3"/>
  <c r="J40" i="7" s="1"/>
  <c r="I120" i="3"/>
  <c r="I120" i="7" s="1"/>
  <c r="I36" i="3"/>
  <c r="I36" i="7" s="1"/>
  <c r="I33" i="3"/>
  <c r="I33" i="7" s="1"/>
  <c r="I154" i="3"/>
  <c r="I154" i="7" s="1"/>
  <c r="I67" i="3"/>
  <c r="I67" i="7" s="1"/>
  <c r="I117" i="3"/>
  <c r="I117" i="7" s="1"/>
  <c r="I160" i="3"/>
  <c r="I160" i="7" s="1"/>
  <c r="I112" i="3"/>
  <c r="I112" i="7" s="1"/>
  <c r="J90" i="3"/>
  <c r="J90" i="7" s="1"/>
  <c r="K105" i="3"/>
  <c r="K105" i="7" s="1"/>
  <c r="K132" i="3"/>
  <c r="K132" i="7" s="1"/>
  <c r="K16" i="3"/>
  <c r="K16" i="7" s="1"/>
  <c r="K111" i="3"/>
  <c r="K111" i="7" s="1"/>
  <c r="K43" i="3"/>
  <c r="K43" i="7" s="1"/>
  <c r="J31" i="3"/>
  <c r="J31" i="7" s="1"/>
  <c r="J69" i="3"/>
  <c r="J69" i="7" s="1"/>
  <c r="K137" i="3"/>
  <c r="K137" i="7" s="1"/>
  <c r="J95" i="3"/>
  <c r="J95" i="7" s="1"/>
  <c r="J99" i="3"/>
  <c r="J99" i="7" s="1"/>
  <c r="J105" i="3"/>
  <c r="J105" i="7" s="1"/>
  <c r="K36" i="3"/>
  <c r="K36" i="7" s="1"/>
  <c r="J45" i="3"/>
  <c r="J45" i="7" s="1"/>
  <c r="I144" i="3"/>
  <c r="I144" i="7" s="1"/>
  <c r="I60" i="3"/>
  <c r="I60" i="7" s="1"/>
  <c r="I125" i="3"/>
  <c r="I125" i="7" s="1"/>
  <c r="I17" i="3"/>
  <c r="I17" i="7" s="1"/>
  <c r="I68" i="3"/>
  <c r="I68" i="7" s="1"/>
  <c r="I126" i="3"/>
  <c r="I126" i="7" s="1"/>
  <c r="I141" i="3"/>
  <c r="I141" i="7" s="1"/>
  <c r="J114" i="3"/>
  <c r="J114" i="7" s="1"/>
  <c r="K8" i="3"/>
  <c r="K8" i="7" s="1"/>
  <c r="K129" i="3"/>
  <c r="K129" i="7" s="1"/>
  <c r="K161" i="3"/>
  <c r="K161" i="7" s="1"/>
  <c r="K108" i="3"/>
  <c r="K108" i="7" s="1"/>
  <c r="K60" i="3"/>
  <c r="K60" i="7" s="1"/>
  <c r="K135" i="3"/>
  <c r="K135" i="7" s="1"/>
  <c r="J119" i="3"/>
  <c r="J119" i="7" s="1"/>
  <c r="J153" i="3"/>
  <c r="J153" i="7" s="1"/>
  <c r="J61" i="3"/>
  <c r="J61" i="7" s="1"/>
  <c r="J123" i="3"/>
  <c r="J123" i="7" s="1"/>
  <c r="K92" i="3"/>
  <c r="K92" i="7" s="1"/>
  <c r="J76" i="3"/>
  <c r="J76" i="7" s="1"/>
  <c r="K124" i="3"/>
  <c r="K124" i="7" s="1"/>
  <c r="I84" i="3"/>
  <c r="I84" i="7" s="1"/>
  <c r="I14" i="3"/>
  <c r="I14" i="7" s="1"/>
  <c r="I39" i="3"/>
  <c r="I39" i="7" s="1"/>
  <c r="I57" i="3"/>
  <c r="I57" i="7" s="1"/>
  <c r="I69" i="3"/>
  <c r="I69" i="7" s="1"/>
  <c r="I127" i="3"/>
  <c r="I127" i="7" s="1"/>
  <c r="I28" i="3"/>
  <c r="I28" i="7" s="1"/>
  <c r="I142" i="3"/>
  <c r="I142" i="7" s="1"/>
  <c r="J17" i="3"/>
  <c r="J17" i="7" s="1"/>
  <c r="J138" i="3"/>
  <c r="J138" i="7" s="1"/>
  <c r="K32" i="3"/>
  <c r="K32" i="7" s="1"/>
  <c r="K153" i="3"/>
  <c r="K153" i="7" s="1"/>
  <c r="K13" i="3"/>
  <c r="K13" i="7" s="1"/>
  <c r="J87" i="3"/>
  <c r="J87" i="7" s="1"/>
  <c r="J84" i="3"/>
  <c r="J84" i="7" s="1"/>
  <c r="J121" i="3"/>
  <c r="J121" i="7" s="1"/>
  <c r="K62" i="3"/>
  <c r="K62" i="7" s="1"/>
  <c r="K93" i="3"/>
  <c r="K93" i="7" s="1"/>
  <c r="J158" i="3"/>
  <c r="J158" i="7" s="1"/>
  <c r="J38" i="3"/>
  <c r="J38" i="7" s="1"/>
  <c r="K24" i="3"/>
  <c r="K24" i="7" s="1"/>
  <c r="J47" i="3"/>
  <c r="J47" i="7" s="1"/>
  <c r="I75" i="3"/>
  <c r="I75" i="7" s="1"/>
  <c r="I139" i="3"/>
  <c r="I139" i="7" s="1"/>
  <c r="I18" i="3"/>
  <c r="I18" i="7" s="1"/>
  <c r="K104" i="3"/>
  <c r="K104" i="7" s="1"/>
  <c r="K155" i="3"/>
  <c r="K155" i="7" s="1"/>
  <c r="I140" i="3"/>
  <c r="I140" i="7" s="1"/>
  <c r="I20" i="3"/>
  <c r="I20" i="7" s="1"/>
  <c r="J70" i="3"/>
  <c r="J70" i="7" s="1"/>
  <c r="J79" i="3"/>
  <c r="J79" i="7" s="1"/>
  <c r="J53" i="3"/>
  <c r="J53" i="7" s="1"/>
  <c r="J56" i="3"/>
  <c r="J56" i="7" s="1"/>
  <c r="J159" i="3"/>
  <c r="J159" i="7" s="1"/>
  <c r="I10" i="3"/>
  <c r="I10" i="7" s="1"/>
  <c r="K128" i="3"/>
  <c r="K128" i="7" s="1"/>
  <c r="J160" i="3"/>
  <c r="J160" i="7" s="1"/>
  <c r="K17" i="3"/>
  <c r="K17" i="7" s="1"/>
  <c r="J51" i="3"/>
  <c r="J51" i="7" s="1"/>
  <c r="K116" i="3"/>
  <c r="K116" i="7" s="1"/>
  <c r="J113" i="3"/>
  <c r="J113" i="7" s="1"/>
  <c r="J110" i="3"/>
  <c r="J110" i="7" s="1"/>
  <c r="J101" i="3"/>
  <c r="J101" i="7" s="1"/>
  <c r="K80" i="3"/>
  <c r="K80" i="7" s="1"/>
  <c r="K147" i="3"/>
  <c r="K147" i="7" s="1"/>
  <c r="K10" i="3"/>
  <c r="K10" i="7" s="1"/>
  <c r="K39" i="3"/>
  <c r="K39" i="7" s="1"/>
  <c r="J23" i="3"/>
  <c r="J23" i="7" s="1"/>
  <c r="I34" i="3"/>
  <c r="I34" i="7" s="1"/>
  <c r="K109" i="3"/>
  <c r="K109" i="7" s="1"/>
  <c r="K51" i="3"/>
  <c r="K51" i="7" s="1"/>
  <c r="K85" i="3"/>
  <c r="K85" i="7" s="1"/>
  <c r="I104" i="3"/>
  <c r="I104" i="7" s="1"/>
  <c r="J15" i="3"/>
  <c r="J15" i="7" s="1"/>
  <c r="I135" i="3"/>
  <c r="I135" i="7" s="1"/>
  <c r="K63" i="3"/>
  <c r="K63" i="7" s="1"/>
  <c r="K7" i="3"/>
  <c r="K7" i="7" s="1"/>
  <c r="K112" i="3"/>
  <c r="K112" i="7" s="1"/>
  <c r="J112" i="3"/>
  <c r="J112" i="7" s="1"/>
  <c r="K145" i="3"/>
  <c r="K145" i="7" s="1"/>
  <c r="I25" i="3"/>
  <c r="I25" i="7" s="1"/>
  <c r="I49" i="3"/>
  <c r="I49" i="7" s="1"/>
  <c r="K20" i="3"/>
  <c r="K20" i="7" s="1"/>
  <c r="K34" i="3"/>
  <c r="K34" i="7" s="1"/>
  <c r="I156" i="3"/>
  <c r="I156" i="7" s="1"/>
  <c r="K83" i="3"/>
  <c r="K83" i="7" s="1"/>
  <c r="K159" i="3"/>
  <c r="K159" i="7" s="1"/>
  <c r="K141" i="3"/>
  <c r="K141" i="7" s="1"/>
  <c r="J74" i="3"/>
  <c r="J74" i="7" s="1"/>
  <c r="I90" i="3"/>
  <c r="I90" i="7" s="1"/>
  <c r="J65" i="3"/>
  <c r="J65" i="7" s="1"/>
  <c r="J126" i="3"/>
  <c r="J126" i="7" s="1"/>
  <c r="K94" i="3"/>
  <c r="K94" i="7" s="1"/>
  <c r="I119" i="3"/>
  <c r="I119" i="7" s="1"/>
  <c r="J89" i="3"/>
  <c r="J89" i="7" s="1"/>
  <c r="J130" i="3"/>
  <c r="J130" i="7" s="1"/>
  <c r="K27" i="3"/>
  <c r="K27" i="7" s="1"/>
  <c r="K38" i="3"/>
  <c r="K38" i="7" s="1"/>
  <c r="K44" i="3"/>
  <c r="K44" i="7" s="1"/>
  <c r="I2" i="5"/>
  <c r="C145" i="5"/>
  <c r="B145" i="3" s="1"/>
  <c r="B145" i="7" s="1"/>
  <c r="C46" i="5"/>
  <c r="B46" i="3" s="1"/>
  <c r="B46" i="7" s="1"/>
  <c r="C100" i="5"/>
  <c r="B100" i="3" s="1"/>
  <c r="B100" i="7" s="1"/>
  <c r="C150" i="5"/>
  <c r="B150" i="3" s="1"/>
  <c r="B150" i="7" s="1"/>
  <c r="C60" i="5"/>
  <c r="B60" i="3" s="1"/>
  <c r="B60" i="7" s="1"/>
  <c r="C156" i="5"/>
  <c r="B156" i="3" s="1"/>
  <c r="B156" i="7" s="1"/>
  <c r="C34" i="5"/>
  <c r="B34" i="3" s="1"/>
  <c r="B34" i="7" s="1"/>
  <c r="C58" i="5"/>
  <c r="B58" i="3" s="1"/>
  <c r="B58" i="7" s="1"/>
  <c r="C82" i="5"/>
  <c r="B82" i="3" s="1"/>
  <c r="B82" i="7" s="1"/>
  <c r="C106" i="5"/>
  <c r="B106" i="3" s="1"/>
  <c r="B106" i="7" s="1"/>
  <c r="C130" i="5"/>
  <c r="B130" i="3" s="1"/>
  <c r="B130" i="7" s="1"/>
  <c r="C154" i="5"/>
  <c r="B154" i="3" s="1"/>
  <c r="B154" i="7" s="1"/>
  <c r="C11" i="5"/>
  <c r="B11" i="3" s="1"/>
  <c r="B11" i="7" s="1"/>
  <c r="C35" i="5"/>
  <c r="B35" i="3" s="1"/>
  <c r="B35" i="7" s="1"/>
  <c r="C59" i="5"/>
  <c r="B59" i="3" s="1"/>
  <c r="B59" i="7" s="1"/>
  <c r="C83" i="5"/>
  <c r="B83" i="3" s="1"/>
  <c r="B83" i="7" s="1"/>
  <c r="C107" i="5"/>
  <c r="B107" i="3" s="1"/>
  <c r="B107" i="7" s="1"/>
  <c r="C131" i="5"/>
  <c r="B131" i="3" s="1"/>
  <c r="B131" i="7" s="1"/>
  <c r="C155" i="5"/>
  <c r="B155" i="3" s="1"/>
  <c r="B155" i="7" s="1"/>
  <c r="C132" i="5"/>
  <c r="B132" i="3" s="1"/>
  <c r="B132" i="7" s="1"/>
  <c r="C12" i="5"/>
  <c r="B12" i="3" s="1"/>
  <c r="B12" i="7" s="1"/>
  <c r="C36" i="5"/>
  <c r="B36" i="3" s="1"/>
  <c r="B36" i="7" s="1"/>
  <c r="C84" i="5"/>
  <c r="B84" i="3" s="1"/>
  <c r="B84" i="7" s="1"/>
  <c r="C108" i="5"/>
  <c r="B108" i="3" s="1"/>
  <c r="B108" i="7" s="1"/>
  <c r="C14" i="5"/>
  <c r="B14" i="3" s="1"/>
  <c r="B14" i="7" s="1"/>
  <c r="C38" i="5"/>
  <c r="B38" i="3" s="1"/>
  <c r="B38" i="7" s="1"/>
  <c r="C62" i="5"/>
  <c r="B62" i="3" s="1"/>
  <c r="B62" i="7" s="1"/>
  <c r="C86" i="5"/>
  <c r="B86" i="3" s="1"/>
  <c r="B86" i="7" s="1"/>
  <c r="C110" i="5"/>
  <c r="B110" i="3" s="1"/>
  <c r="B110" i="7" s="1"/>
  <c r="C134" i="5"/>
  <c r="B134" i="3" s="1"/>
  <c r="B134" i="7" s="1"/>
  <c r="C158" i="5"/>
  <c r="B158" i="3" s="1"/>
  <c r="B158" i="7" s="1"/>
  <c r="C15" i="5"/>
  <c r="B15" i="3" s="1"/>
  <c r="B15" i="7" s="1"/>
  <c r="C39" i="5"/>
  <c r="B39" i="3" s="1"/>
  <c r="B39" i="7" s="1"/>
  <c r="C63" i="5"/>
  <c r="B63" i="3" s="1"/>
  <c r="B63" i="7" s="1"/>
  <c r="C87" i="5"/>
  <c r="B87" i="3" s="1"/>
  <c r="B87" i="7" s="1"/>
  <c r="C111" i="5"/>
  <c r="B111" i="3" s="1"/>
  <c r="B111" i="7" s="1"/>
  <c r="C135" i="5"/>
  <c r="B135" i="3" s="1"/>
  <c r="B135" i="7" s="1"/>
  <c r="C159" i="5"/>
  <c r="B159" i="3" s="1"/>
  <c r="B159" i="7" s="1"/>
  <c r="C16" i="5"/>
  <c r="B16" i="3" s="1"/>
  <c r="B16" i="7" s="1"/>
  <c r="C40" i="5"/>
  <c r="B40" i="3" s="1"/>
  <c r="B40" i="7" s="1"/>
  <c r="C64" i="5"/>
  <c r="B64" i="3" s="1"/>
  <c r="B64" i="7" s="1"/>
  <c r="C88" i="5"/>
  <c r="B88" i="3" s="1"/>
  <c r="B88" i="7" s="1"/>
  <c r="C112" i="5"/>
  <c r="B112" i="3" s="1"/>
  <c r="B112" i="7" s="1"/>
  <c r="C136" i="5"/>
  <c r="B136" i="3" s="1"/>
  <c r="B136" i="7" s="1"/>
  <c r="C160" i="5"/>
  <c r="B160" i="3" s="1"/>
  <c r="B160" i="7" s="1"/>
  <c r="C17" i="5"/>
  <c r="B17" i="3" s="1"/>
  <c r="B17" i="7" s="1"/>
  <c r="C41" i="5"/>
  <c r="B41" i="3" s="1"/>
  <c r="B41" i="7" s="1"/>
  <c r="C65" i="5"/>
  <c r="B65" i="3" s="1"/>
  <c r="B65" i="7" s="1"/>
  <c r="C89" i="5"/>
  <c r="B89" i="3" s="1"/>
  <c r="B89" i="7" s="1"/>
  <c r="C113" i="5"/>
  <c r="B113" i="3" s="1"/>
  <c r="B113" i="7" s="1"/>
  <c r="C137" i="5"/>
  <c r="B137" i="3" s="1"/>
  <c r="B137" i="7" s="1"/>
  <c r="C161" i="5"/>
  <c r="B161" i="3" s="1"/>
  <c r="B161" i="7" s="1"/>
  <c r="C18" i="5"/>
  <c r="B18" i="3" s="1"/>
  <c r="B18" i="7" s="1"/>
  <c r="C42" i="5"/>
  <c r="B42" i="3" s="1"/>
  <c r="B42" i="7" s="1"/>
  <c r="C66" i="5"/>
  <c r="B66" i="3" s="1"/>
  <c r="B66" i="7" s="1"/>
  <c r="C90" i="5"/>
  <c r="B90" i="3" s="1"/>
  <c r="B90" i="7" s="1"/>
  <c r="C114" i="5"/>
  <c r="B114" i="3" s="1"/>
  <c r="B114" i="7" s="1"/>
  <c r="C138" i="5"/>
  <c r="B138" i="3" s="1"/>
  <c r="B138" i="7" s="1"/>
  <c r="C162" i="5"/>
  <c r="B162" i="3" s="1"/>
  <c r="B162" i="7" s="1"/>
  <c r="C10" i="5"/>
  <c r="B10" i="3" s="1"/>
  <c r="B10" i="7" s="1"/>
  <c r="C19" i="5"/>
  <c r="B19" i="3" s="1"/>
  <c r="B19" i="7" s="1"/>
  <c r="C43" i="5"/>
  <c r="B43" i="3" s="1"/>
  <c r="B43" i="7" s="1"/>
  <c r="C67" i="5"/>
  <c r="B67" i="3" s="1"/>
  <c r="B67" i="7" s="1"/>
  <c r="C91" i="5"/>
  <c r="B91" i="3" s="1"/>
  <c r="B91" i="7" s="1"/>
  <c r="C115" i="5"/>
  <c r="B115" i="3" s="1"/>
  <c r="B115" i="7" s="1"/>
  <c r="C139" i="5"/>
  <c r="B139" i="3" s="1"/>
  <c r="B139" i="7" s="1"/>
  <c r="C20" i="5"/>
  <c r="B20" i="3" s="1"/>
  <c r="B20" i="7" s="1"/>
  <c r="C44" i="5"/>
  <c r="B44" i="3" s="1"/>
  <c r="B44" i="7" s="1"/>
  <c r="C68" i="5"/>
  <c r="B68" i="3" s="1"/>
  <c r="B68" i="7" s="1"/>
  <c r="C92" i="5"/>
  <c r="B92" i="3" s="1"/>
  <c r="B92" i="7" s="1"/>
  <c r="C116" i="5"/>
  <c r="B116" i="3" s="1"/>
  <c r="B116" i="7" s="1"/>
  <c r="C140" i="5"/>
  <c r="B140" i="3" s="1"/>
  <c r="B140" i="7" s="1"/>
  <c r="C85" i="5"/>
  <c r="B85" i="3" s="1"/>
  <c r="B85" i="7" s="1"/>
  <c r="C120" i="5"/>
  <c r="B120" i="3" s="1"/>
  <c r="B120" i="7" s="1"/>
  <c r="C133" i="5"/>
  <c r="B133" i="3" s="1"/>
  <c r="B133" i="7" s="1"/>
  <c r="C23" i="5"/>
  <c r="B23" i="3" s="1"/>
  <c r="B23" i="7" s="1"/>
  <c r="C72" i="5"/>
  <c r="B72" i="3" s="1"/>
  <c r="B72" i="7" s="1"/>
  <c r="C93" i="5"/>
  <c r="B93" i="3" s="1"/>
  <c r="B93" i="7" s="1"/>
  <c r="C119" i="5"/>
  <c r="B119" i="3" s="1"/>
  <c r="B119" i="7" s="1"/>
  <c r="C21" i="5"/>
  <c r="B21" i="3" s="1"/>
  <c r="B21" i="7" s="1"/>
  <c r="C61" i="5"/>
  <c r="B61" i="3" s="1"/>
  <c r="B61" i="7" s="1"/>
  <c r="C71" i="5"/>
  <c r="B71" i="3" s="1"/>
  <c r="B71" i="7" s="1"/>
  <c r="C95" i="5"/>
  <c r="B95" i="3" s="1"/>
  <c r="B95" i="7" s="1"/>
  <c r="C5" i="5"/>
  <c r="B5" i="3" s="1"/>
  <c r="B5" i="7" s="1"/>
  <c r="C141" i="5"/>
  <c r="B141" i="3" s="1"/>
  <c r="B141" i="7" s="1"/>
  <c r="C96" i="5"/>
  <c r="B96" i="3" s="1"/>
  <c r="B96" i="7" s="1"/>
  <c r="C109" i="5"/>
  <c r="B109" i="3" s="1"/>
  <c r="B109" i="7" s="1"/>
  <c r="C69" i="5"/>
  <c r="B69" i="3" s="1"/>
  <c r="B69" i="7" s="1"/>
  <c r="C117" i="5"/>
  <c r="B117" i="3" s="1"/>
  <c r="B117" i="7" s="1"/>
  <c r="C13" i="5"/>
  <c r="B13" i="3" s="1"/>
  <c r="B13" i="7" s="1"/>
  <c r="C24" i="5"/>
  <c r="B24" i="3" s="1"/>
  <c r="B24" i="7" s="1"/>
  <c r="C143" i="5"/>
  <c r="B143" i="3" s="1"/>
  <c r="B143" i="7" s="1"/>
  <c r="C37" i="5"/>
  <c r="B37" i="3" s="1"/>
  <c r="B37" i="7" s="1"/>
  <c r="C144" i="5"/>
  <c r="B144" i="3" s="1"/>
  <c r="B144" i="7" s="1"/>
  <c r="C45" i="5"/>
  <c r="B45" i="3" s="1"/>
  <c r="B45" i="7" s="1"/>
  <c r="C157" i="5"/>
  <c r="B157" i="3" s="1"/>
  <c r="B157" i="7" s="1"/>
  <c r="C47" i="5"/>
  <c r="B47" i="3" s="1"/>
  <c r="B47" i="7" s="1"/>
  <c r="C48" i="5"/>
  <c r="B48" i="3" s="1"/>
  <c r="B48" i="7" s="1"/>
  <c r="C128" i="5"/>
  <c r="B128" i="3" s="1"/>
  <c r="B128" i="7" s="1"/>
  <c r="C101" i="5"/>
  <c r="B101" i="3" s="1"/>
  <c r="B101" i="7" s="1"/>
  <c r="C54" i="5"/>
  <c r="B54" i="3" s="1"/>
  <c r="B54" i="7" s="1"/>
  <c r="C94" i="5"/>
  <c r="B94" i="3" s="1"/>
  <c r="B94" i="7" s="1"/>
  <c r="C102" i="5"/>
  <c r="B102" i="3" s="1"/>
  <c r="B102" i="7" s="1"/>
  <c r="C152" i="5"/>
  <c r="B152" i="3" s="1"/>
  <c r="B152" i="7" s="1"/>
  <c r="C25" i="5"/>
  <c r="B25" i="3" s="1"/>
  <c r="B25" i="7" s="1"/>
  <c r="C78" i="5"/>
  <c r="B78" i="3" s="1"/>
  <c r="B78" i="7" s="1"/>
  <c r="C70" i="5"/>
  <c r="B70" i="3" s="1"/>
  <c r="B70" i="7" s="1"/>
  <c r="C125" i="5"/>
  <c r="B125" i="3" s="1"/>
  <c r="B125" i="7" s="1"/>
  <c r="C151" i="5"/>
  <c r="B151" i="3" s="1"/>
  <c r="B151" i="7" s="1"/>
  <c r="C118" i="5"/>
  <c r="B118" i="3" s="1"/>
  <c r="B118" i="7" s="1"/>
  <c r="C142" i="5"/>
  <c r="B142" i="3" s="1"/>
  <c r="B142" i="7" s="1"/>
  <c r="C8" i="5"/>
  <c r="B8" i="3" s="1"/>
  <c r="B8" i="7" s="1"/>
  <c r="C32" i="5"/>
  <c r="B32" i="3" s="1"/>
  <c r="B32" i="7" s="1"/>
  <c r="C49" i="5"/>
  <c r="B49" i="3" s="1"/>
  <c r="B49" i="7" s="1"/>
  <c r="C9" i="5"/>
  <c r="B9" i="3" s="1"/>
  <c r="B9" i="7" s="1"/>
  <c r="C73" i="5"/>
  <c r="B73" i="3" s="1"/>
  <c r="B73" i="7" s="1"/>
  <c r="C105" i="5"/>
  <c r="B105" i="3" s="1"/>
  <c r="B105" i="7" s="1"/>
  <c r="C27" i="5"/>
  <c r="B27" i="3" s="1"/>
  <c r="B27" i="7" s="1"/>
  <c r="C127" i="5"/>
  <c r="B127" i="3" s="1"/>
  <c r="B127" i="7" s="1"/>
  <c r="M163" i="3" l="1"/>
  <c r="M164" i="3"/>
  <c r="M172" i="3"/>
  <c r="M180" i="3"/>
  <c r="M188" i="3"/>
  <c r="M196" i="3"/>
  <c r="M204" i="3"/>
  <c r="M212" i="3"/>
  <c r="M220" i="3"/>
  <c r="M228" i="3"/>
  <c r="M165" i="3"/>
  <c r="M166" i="3"/>
  <c r="M167" i="3"/>
  <c r="M168" i="3"/>
  <c r="M169" i="3"/>
  <c r="M177" i="3"/>
  <c r="M185" i="3"/>
  <c r="M193" i="3"/>
  <c r="M201" i="3"/>
  <c r="M209" i="3"/>
  <c r="M217" i="3"/>
  <c r="M225" i="3"/>
  <c r="M170" i="3"/>
  <c r="M171" i="3"/>
  <c r="M182" i="3"/>
  <c r="M192" i="3"/>
  <c r="M203" i="3"/>
  <c r="M214" i="3"/>
  <c r="M224" i="3"/>
  <c r="M207" i="3"/>
  <c r="M173" i="3"/>
  <c r="M183" i="3"/>
  <c r="M194" i="3"/>
  <c r="M205" i="3"/>
  <c r="M215" i="3"/>
  <c r="M226" i="3"/>
  <c r="M218" i="3"/>
  <c r="M174" i="3"/>
  <c r="M184" i="3"/>
  <c r="M195" i="3"/>
  <c r="M206" i="3"/>
  <c r="M216" i="3"/>
  <c r="M227" i="3"/>
  <c r="M175" i="3"/>
  <c r="M186" i="3"/>
  <c r="M197" i="3"/>
  <c r="M176" i="3"/>
  <c r="M187" i="3"/>
  <c r="M198" i="3"/>
  <c r="M208" i="3"/>
  <c r="M219" i="3"/>
  <c r="M230" i="3"/>
  <c r="M178" i="3"/>
  <c r="M189" i="3"/>
  <c r="M199" i="3"/>
  <c r="M210" i="3"/>
  <c r="M221" i="3"/>
  <c r="M179" i="3"/>
  <c r="M190" i="3"/>
  <c r="M200" i="3"/>
  <c r="M211" i="3"/>
  <c r="M222" i="3"/>
  <c r="M181" i="3"/>
  <c r="M191" i="3"/>
  <c r="M202" i="3"/>
  <c r="M213" i="3"/>
  <c r="M223" i="3"/>
  <c r="M229" i="3"/>
  <c r="M63" i="3"/>
  <c r="M63" i="7" s="1"/>
  <c r="M47" i="3"/>
  <c r="M47" i="7" s="1"/>
  <c r="M14" i="3"/>
  <c r="M14" i="7" s="1"/>
  <c r="M149" i="3"/>
  <c r="M149" i="7" s="1"/>
  <c r="M117" i="3"/>
  <c r="M117" i="7" s="1"/>
  <c r="M139" i="3"/>
  <c r="M139" i="7" s="1"/>
  <c r="M10" i="3"/>
  <c r="M10" i="7" s="1"/>
  <c r="M147" i="3"/>
  <c r="M147" i="7" s="1"/>
  <c r="M99" i="3"/>
  <c r="M99" i="7" s="1"/>
  <c r="M59" i="3"/>
  <c r="M59" i="7" s="1"/>
  <c r="M19" i="3"/>
  <c r="M19" i="7" s="1"/>
  <c r="M154" i="3"/>
  <c r="M154" i="7" s="1"/>
  <c r="M106" i="3"/>
  <c r="M106" i="7" s="1"/>
  <c r="M137" i="3"/>
  <c r="M137" i="7" s="1"/>
  <c r="M121" i="3"/>
  <c r="M121" i="7" s="1"/>
  <c r="M64" i="3"/>
  <c r="M64" i="7" s="1"/>
  <c r="M48" i="3"/>
  <c r="M48" i="7" s="1"/>
  <c r="M158" i="3"/>
  <c r="M158" i="7" s="1"/>
  <c r="M62" i="3"/>
  <c r="M62" i="7" s="1"/>
  <c r="M141" i="3"/>
  <c r="M141" i="7" s="1"/>
  <c r="M140" i="3"/>
  <c r="M140" i="7" s="1"/>
  <c r="M52" i="3"/>
  <c r="M52" i="7" s="1"/>
  <c r="M107" i="3"/>
  <c r="M107" i="7" s="1"/>
  <c r="M67" i="3"/>
  <c r="M67" i="7" s="1"/>
  <c r="M11" i="3"/>
  <c r="M11" i="7" s="1"/>
  <c r="M151" i="3"/>
  <c r="M151" i="7" s="1"/>
  <c r="M31" i="3"/>
  <c r="M31" i="7" s="1"/>
  <c r="M15" i="3"/>
  <c r="M15" i="7" s="1"/>
  <c r="M45" i="3"/>
  <c r="M45" i="7" s="1"/>
  <c r="M29" i="3"/>
  <c r="M29" i="7" s="1"/>
  <c r="M68" i="3"/>
  <c r="M68" i="7" s="1"/>
  <c r="L4" i="3"/>
  <c r="L4" i="7" s="1"/>
  <c r="M146" i="3"/>
  <c r="M146" i="7" s="1"/>
  <c r="M98" i="3"/>
  <c r="M98" i="7" s="1"/>
  <c r="M66" i="3"/>
  <c r="M66" i="7" s="1"/>
  <c r="M105" i="3"/>
  <c r="M105" i="7" s="1"/>
  <c r="M97" i="3"/>
  <c r="M97" i="7" s="1"/>
  <c r="M81" i="3"/>
  <c r="M81" i="7" s="1"/>
  <c r="M57" i="3"/>
  <c r="M57" i="7" s="1"/>
  <c r="M32" i="3"/>
  <c r="M32" i="7" s="1"/>
  <c r="M16" i="3"/>
  <c r="M16" i="7" s="1"/>
  <c r="M135" i="3"/>
  <c r="M135" i="7" s="1"/>
  <c r="M119" i="3"/>
  <c r="M119" i="7" s="1"/>
  <c r="M103" i="3"/>
  <c r="M103" i="7" s="1"/>
  <c r="M70" i="3"/>
  <c r="M70" i="7" s="1"/>
  <c r="M157" i="3"/>
  <c r="M157" i="7" s="1"/>
  <c r="M101" i="3"/>
  <c r="M101" i="7" s="1"/>
  <c r="M77" i="3"/>
  <c r="M77" i="7" s="1"/>
  <c r="M61" i="3"/>
  <c r="M61" i="7" s="1"/>
  <c r="M94" i="3"/>
  <c r="M94" i="7" s="1"/>
  <c r="M156" i="3"/>
  <c r="M156" i="7" s="1"/>
  <c r="M50" i="3"/>
  <c r="M50" i="7" s="1"/>
  <c r="M44" i="3"/>
  <c r="M44" i="7" s="1"/>
  <c r="M138" i="3"/>
  <c r="M138" i="7" s="1"/>
  <c r="M90" i="3"/>
  <c r="M90" i="7" s="1"/>
  <c r="M33" i="3"/>
  <c r="M33" i="7" s="1"/>
  <c r="M36" i="3"/>
  <c r="M36" i="7" s="1"/>
  <c r="M12" i="3"/>
  <c r="M12" i="7" s="1"/>
  <c r="M27" i="3"/>
  <c r="M27" i="7" s="1"/>
  <c r="M41" i="3"/>
  <c r="M41" i="7" s="1"/>
  <c r="M17" i="3"/>
  <c r="M17" i="7" s="1"/>
  <c r="M152" i="3"/>
  <c r="M152" i="7" s="1"/>
  <c r="M87" i="3"/>
  <c r="M87" i="7" s="1"/>
  <c r="M71" i="3"/>
  <c r="M71" i="7" s="1"/>
  <c r="M142" i="3"/>
  <c r="M142" i="7" s="1"/>
  <c r="M118" i="3"/>
  <c r="M118" i="7" s="1"/>
  <c r="M35" i="3"/>
  <c r="M35" i="7" s="1"/>
  <c r="M34" i="3"/>
  <c r="M34" i="7" s="1"/>
  <c r="M134" i="3"/>
  <c r="M134" i="7" s="1"/>
  <c r="M54" i="3"/>
  <c r="M54" i="7" s="1"/>
  <c r="M148" i="3"/>
  <c r="M148" i="7" s="1"/>
  <c r="M92" i="3"/>
  <c r="M92" i="7" s="1"/>
  <c r="M132" i="3"/>
  <c r="M132" i="7" s="1"/>
  <c r="M84" i="3"/>
  <c r="M84" i="7" s="1"/>
  <c r="M115" i="3"/>
  <c r="M115" i="7" s="1"/>
  <c r="M153" i="3"/>
  <c r="M153" i="7" s="1"/>
  <c r="M136" i="3"/>
  <c r="M136" i="7" s="1"/>
  <c r="M120" i="3"/>
  <c r="M120" i="7" s="1"/>
  <c r="M104" i="3"/>
  <c r="M104" i="7" s="1"/>
  <c r="M88" i="3"/>
  <c r="M88" i="7" s="1"/>
  <c r="M72" i="3"/>
  <c r="M72" i="7" s="1"/>
  <c r="M46" i="3"/>
  <c r="M46" i="7" s="1"/>
  <c r="M43" i="3"/>
  <c r="M43" i="7" s="1"/>
  <c r="M55" i="3"/>
  <c r="M55" i="7" s="1"/>
  <c r="M30" i="3"/>
  <c r="M30" i="7" s="1"/>
  <c r="M133" i="3"/>
  <c r="M133" i="7" s="1"/>
  <c r="M108" i="3"/>
  <c r="M108" i="7" s="1"/>
  <c r="M18" i="3"/>
  <c r="M18" i="7" s="1"/>
  <c r="M6" i="3"/>
  <c r="M6" i="7" s="1"/>
  <c r="M123" i="3"/>
  <c r="M123" i="7" s="1"/>
  <c r="M75" i="3"/>
  <c r="M75" i="7" s="1"/>
  <c r="M5" i="3"/>
  <c r="M5" i="7" s="1"/>
  <c r="M130" i="3"/>
  <c r="M130" i="7" s="1"/>
  <c r="M74" i="3"/>
  <c r="M74" i="7" s="1"/>
  <c r="M129" i="3"/>
  <c r="M129" i="7" s="1"/>
  <c r="M113" i="3"/>
  <c r="M113" i="7" s="1"/>
  <c r="M56" i="3"/>
  <c r="M56" i="7" s="1"/>
  <c r="M40" i="3"/>
  <c r="M40" i="7" s="1"/>
  <c r="M102" i="3"/>
  <c r="M102" i="7" s="1"/>
  <c r="M85" i="3"/>
  <c r="M85" i="7" s="1"/>
  <c r="M100" i="3"/>
  <c r="M100" i="7" s="1"/>
  <c r="M131" i="3"/>
  <c r="M131" i="7" s="1"/>
  <c r="M91" i="3"/>
  <c r="M91" i="7" s="1"/>
  <c r="M159" i="3"/>
  <c r="M159" i="7" s="1"/>
  <c r="M143" i="3"/>
  <c r="M143" i="7" s="1"/>
  <c r="M39" i="3"/>
  <c r="M39" i="7" s="1"/>
  <c r="M23" i="3"/>
  <c r="M23" i="7" s="1"/>
  <c r="M7" i="3"/>
  <c r="M7" i="7" s="1"/>
  <c r="M38" i="3"/>
  <c r="M38" i="7" s="1"/>
  <c r="M37" i="3"/>
  <c r="M37" i="7" s="1"/>
  <c r="M109" i="3"/>
  <c r="M109" i="7" s="1"/>
  <c r="M150" i="3"/>
  <c r="M150" i="7" s="1"/>
  <c r="M122" i="3"/>
  <c r="M122" i="7" s="1"/>
  <c r="M82" i="3"/>
  <c r="M82" i="7" s="1"/>
  <c r="M58" i="3"/>
  <c r="M58" i="7" s="1"/>
  <c r="M51" i="3"/>
  <c r="M51" i="7" s="1"/>
  <c r="M145" i="3"/>
  <c r="M145" i="7" s="1"/>
  <c r="M89" i="3"/>
  <c r="M89" i="7" s="1"/>
  <c r="M73" i="3"/>
  <c r="M73" i="7" s="1"/>
  <c r="M49" i="3"/>
  <c r="M49" i="7" s="1"/>
  <c r="M24" i="3"/>
  <c r="M24" i="7" s="1"/>
  <c r="M8" i="3"/>
  <c r="M8" i="7" s="1"/>
  <c r="M127" i="3"/>
  <c r="M127" i="7" s="1"/>
  <c r="M111" i="3"/>
  <c r="M111" i="7" s="1"/>
  <c r="M95" i="3"/>
  <c r="M95" i="7" s="1"/>
  <c r="M110" i="3"/>
  <c r="M110" i="7" s="1"/>
  <c r="M125" i="3"/>
  <c r="M125" i="7" s="1"/>
  <c r="M93" i="3"/>
  <c r="M93" i="7" s="1"/>
  <c r="M69" i="3"/>
  <c r="M69" i="7" s="1"/>
  <c r="M53" i="3"/>
  <c r="M53" i="7" s="1"/>
  <c r="M13" i="3"/>
  <c r="M13" i="7" s="1"/>
  <c r="M22" i="3"/>
  <c r="M22" i="7" s="1"/>
  <c r="M4" i="3"/>
  <c r="M4" i="7" s="1"/>
  <c r="M42" i="3"/>
  <c r="M42" i="7" s="1"/>
  <c r="M114" i="3"/>
  <c r="M114" i="7" s="1"/>
  <c r="M65" i="3"/>
  <c r="M65" i="7" s="1"/>
  <c r="M9" i="3"/>
  <c r="M9" i="7" s="1"/>
  <c r="M28" i="3"/>
  <c r="M28" i="7" s="1"/>
  <c r="M25" i="3"/>
  <c r="M25" i="7" s="1"/>
  <c r="M160" i="3"/>
  <c r="M160" i="7" s="1"/>
  <c r="M144" i="3"/>
  <c r="M144" i="7" s="1"/>
  <c r="M79" i="3"/>
  <c r="M79" i="7" s="1"/>
  <c r="M126" i="3"/>
  <c r="M126" i="7" s="1"/>
  <c r="M86" i="3"/>
  <c r="M86" i="7" s="1"/>
  <c r="M26" i="3"/>
  <c r="M26" i="7" s="1"/>
  <c r="M78" i="3"/>
  <c r="M78" i="7" s="1"/>
  <c r="M21" i="3"/>
  <c r="M21" i="7" s="1"/>
  <c r="M124" i="3"/>
  <c r="M124" i="7" s="1"/>
  <c r="M76" i="3"/>
  <c r="M76" i="7" s="1"/>
  <c r="M20" i="3"/>
  <c r="M20" i="7" s="1"/>
  <c r="M116" i="3"/>
  <c r="M116" i="7" s="1"/>
  <c r="M60" i="3"/>
  <c r="M60" i="7" s="1"/>
  <c r="M155" i="3"/>
  <c r="M155" i="7" s="1"/>
  <c r="M83" i="3"/>
  <c r="M83" i="7" s="1"/>
  <c r="M161" i="3"/>
  <c r="M161" i="7" s="1"/>
  <c r="M128" i="3"/>
  <c r="M128" i="7" s="1"/>
  <c r="M112" i="3"/>
  <c r="M112" i="7" s="1"/>
  <c r="M96" i="3"/>
  <c r="M96" i="7" s="1"/>
  <c r="M80" i="3"/>
  <c r="M80" i="7" s="1"/>
  <c r="M162" i="3"/>
  <c r="M162" i="7" s="1"/>
  <c r="L7" i="3"/>
  <c r="L7" i="7" s="1"/>
  <c r="L31" i="3"/>
  <c r="L31" i="7" s="1"/>
  <c r="L55" i="3"/>
  <c r="L55" i="7" s="1"/>
  <c r="L79" i="3"/>
  <c r="L79" i="7" s="1"/>
  <c r="L103" i="3"/>
  <c r="L103" i="7" s="1"/>
  <c r="L127" i="3"/>
  <c r="L127" i="7" s="1"/>
  <c r="L151" i="3"/>
  <c r="L151" i="7" s="1"/>
  <c r="L175" i="3"/>
  <c r="L199" i="3"/>
  <c r="L223" i="3"/>
  <c r="L10" i="3"/>
  <c r="L10" i="7" s="1"/>
  <c r="L58" i="3"/>
  <c r="L58" i="7" s="1"/>
  <c r="L106" i="3"/>
  <c r="L106" i="7" s="1"/>
  <c r="L154" i="3"/>
  <c r="L154" i="7" s="1"/>
  <c r="L178" i="3"/>
  <c r="L205" i="3"/>
  <c r="L62" i="3"/>
  <c r="L62" i="7" s="1"/>
  <c r="L206" i="3"/>
  <c r="L111" i="3"/>
  <c r="L111" i="7" s="1"/>
  <c r="L183" i="3"/>
  <c r="L207" i="3"/>
  <c r="L16" i="3"/>
  <c r="L16" i="7" s="1"/>
  <c r="L88" i="3"/>
  <c r="L88" i="7" s="1"/>
  <c r="L184" i="3"/>
  <c r="L65" i="3"/>
  <c r="L65" i="7" s="1"/>
  <c r="L137" i="3"/>
  <c r="L137" i="7" s="1"/>
  <c r="L8" i="3"/>
  <c r="L8" i="7" s="1"/>
  <c r="L32" i="3"/>
  <c r="L32" i="7" s="1"/>
  <c r="L56" i="3"/>
  <c r="L56" i="7" s="1"/>
  <c r="L80" i="3"/>
  <c r="L80" i="7" s="1"/>
  <c r="L104" i="3"/>
  <c r="L104" i="7" s="1"/>
  <c r="L128" i="3"/>
  <c r="L128" i="7" s="1"/>
  <c r="L152" i="3"/>
  <c r="L152" i="7" s="1"/>
  <c r="L176" i="3"/>
  <c r="L200" i="3"/>
  <c r="L224" i="3"/>
  <c r="L82" i="3"/>
  <c r="L82" i="7" s="1"/>
  <c r="L202" i="3"/>
  <c r="L85" i="3"/>
  <c r="L85" i="7" s="1"/>
  <c r="L229" i="3"/>
  <c r="L230" i="3"/>
  <c r="L87" i="3"/>
  <c r="L87" i="7" s="1"/>
  <c r="L9" i="3"/>
  <c r="L9" i="7" s="1"/>
  <c r="L33" i="3"/>
  <c r="L33" i="7" s="1"/>
  <c r="L57" i="3"/>
  <c r="L57" i="7" s="1"/>
  <c r="L81" i="3"/>
  <c r="L81" i="7" s="1"/>
  <c r="L105" i="3"/>
  <c r="L105" i="7" s="1"/>
  <c r="L129" i="3"/>
  <c r="L129" i="7" s="1"/>
  <c r="L153" i="3"/>
  <c r="L153" i="7" s="1"/>
  <c r="L177" i="3"/>
  <c r="L201" i="3"/>
  <c r="L225" i="3"/>
  <c r="L34" i="3"/>
  <c r="L34" i="7" s="1"/>
  <c r="L130" i="3"/>
  <c r="L130" i="7" s="1"/>
  <c r="L226" i="3"/>
  <c r="L61" i="3"/>
  <c r="L61" i="7" s="1"/>
  <c r="L134" i="3"/>
  <c r="L134" i="7" s="1"/>
  <c r="L63" i="3"/>
  <c r="L63" i="7" s="1"/>
  <c r="L89" i="3"/>
  <c r="L89" i="7" s="1"/>
  <c r="L11" i="3"/>
  <c r="L11" i="7" s="1"/>
  <c r="L35" i="3"/>
  <c r="L35" i="7" s="1"/>
  <c r="L59" i="3"/>
  <c r="L59" i="7" s="1"/>
  <c r="L83" i="3"/>
  <c r="L83" i="7" s="1"/>
  <c r="L107" i="3"/>
  <c r="L107" i="7" s="1"/>
  <c r="L131" i="3"/>
  <c r="L131" i="7" s="1"/>
  <c r="L155" i="3"/>
  <c r="L155" i="7" s="1"/>
  <c r="L179" i="3"/>
  <c r="L203" i="3"/>
  <c r="L227" i="3"/>
  <c r="L37" i="3"/>
  <c r="L37" i="7" s="1"/>
  <c r="L133" i="3"/>
  <c r="L133" i="7" s="1"/>
  <c r="L181" i="3"/>
  <c r="L38" i="3"/>
  <c r="L38" i="7" s="1"/>
  <c r="L158" i="3"/>
  <c r="L158" i="7" s="1"/>
  <c r="L15" i="3"/>
  <c r="L15" i="7" s="1"/>
  <c r="L135" i="3"/>
  <c r="L135" i="7" s="1"/>
  <c r="L40" i="3"/>
  <c r="L40" i="7" s="1"/>
  <c r="L136" i="3"/>
  <c r="L136" i="7" s="1"/>
  <c r="L208" i="3"/>
  <c r="L41" i="3"/>
  <c r="L41" i="7" s="1"/>
  <c r="L113" i="3"/>
  <c r="L113" i="7" s="1"/>
  <c r="L209" i="3"/>
  <c r="L12" i="3"/>
  <c r="L12" i="7" s="1"/>
  <c r="L36" i="3"/>
  <c r="L36" i="7" s="1"/>
  <c r="L60" i="3"/>
  <c r="L60" i="7" s="1"/>
  <c r="L84" i="3"/>
  <c r="L84" i="7" s="1"/>
  <c r="L108" i="3"/>
  <c r="L108" i="7" s="1"/>
  <c r="L132" i="3"/>
  <c r="L132" i="7" s="1"/>
  <c r="L156" i="3"/>
  <c r="L156" i="7" s="1"/>
  <c r="L180" i="3"/>
  <c r="L204" i="3"/>
  <c r="L228" i="3"/>
  <c r="L13" i="3"/>
  <c r="L13" i="7" s="1"/>
  <c r="L109" i="3"/>
  <c r="L109" i="7" s="1"/>
  <c r="L157" i="3"/>
  <c r="L157" i="7" s="1"/>
  <c r="L14" i="3"/>
  <c r="L14" i="7" s="1"/>
  <c r="L86" i="3"/>
  <c r="L86" i="7" s="1"/>
  <c r="L110" i="3"/>
  <c r="L110" i="7" s="1"/>
  <c r="L182" i="3"/>
  <c r="L39" i="3"/>
  <c r="L39" i="7" s="1"/>
  <c r="L159" i="3"/>
  <c r="L159" i="7" s="1"/>
  <c r="L64" i="3"/>
  <c r="L64" i="7" s="1"/>
  <c r="L112" i="3"/>
  <c r="L112" i="7" s="1"/>
  <c r="L160" i="3"/>
  <c r="L160" i="7" s="1"/>
  <c r="L17" i="3"/>
  <c r="L17" i="7" s="1"/>
  <c r="L185" i="3"/>
  <c r="L161" i="3"/>
  <c r="L161" i="7" s="1"/>
  <c r="L20" i="3"/>
  <c r="L20" i="7" s="1"/>
  <c r="L44" i="3"/>
  <c r="L44" i="7" s="1"/>
  <c r="L68" i="3"/>
  <c r="L68" i="7" s="1"/>
  <c r="L92" i="3"/>
  <c r="L92" i="7" s="1"/>
  <c r="L116" i="3"/>
  <c r="L116" i="7" s="1"/>
  <c r="L140" i="3"/>
  <c r="L140" i="7" s="1"/>
  <c r="L164" i="3"/>
  <c r="L188" i="3"/>
  <c r="L212" i="3"/>
  <c r="L21" i="3"/>
  <c r="L21" i="7" s="1"/>
  <c r="L45" i="3"/>
  <c r="L45" i="7" s="1"/>
  <c r="L69" i="3"/>
  <c r="L69" i="7" s="1"/>
  <c r="L93" i="3"/>
  <c r="L93" i="7" s="1"/>
  <c r="L117" i="3"/>
  <c r="L117" i="7" s="1"/>
  <c r="L141" i="3"/>
  <c r="L141" i="7" s="1"/>
  <c r="L165" i="3"/>
  <c r="L189" i="3"/>
  <c r="L213" i="3"/>
  <c r="L22" i="3"/>
  <c r="L22" i="7" s="1"/>
  <c r="L46" i="3"/>
  <c r="L46" i="7" s="1"/>
  <c r="L70" i="3"/>
  <c r="L70" i="7" s="1"/>
  <c r="L94" i="3"/>
  <c r="L94" i="7" s="1"/>
  <c r="L118" i="3"/>
  <c r="L118" i="7" s="1"/>
  <c r="L142" i="3"/>
  <c r="L142" i="7" s="1"/>
  <c r="L166" i="3"/>
  <c r="L190" i="3"/>
  <c r="L214" i="3"/>
  <c r="L47" i="3"/>
  <c r="L47" i="7" s="1"/>
  <c r="L99" i="3"/>
  <c r="L99" i="7" s="1"/>
  <c r="L162" i="3"/>
  <c r="L162" i="7" s="1"/>
  <c r="L217" i="3"/>
  <c r="L100" i="3"/>
  <c r="L100" i="7" s="1"/>
  <c r="L163" i="3"/>
  <c r="L218" i="3"/>
  <c r="L101" i="3"/>
  <c r="L101" i="7" s="1"/>
  <c r="L167" i="3"/>
  <c r="L219" i="3"/>
  <c r="L220" i="3"/>
  <c r="L169" i="3"/>
  <c r="L52" i="3"/>
  <c r="L52" i="7" s="1"/>
  <c r="L53" i="3"/>
  <c r="L53" i="7" s="1"/>
  <c r="L171" i="3"/>
  <c r="L174" i="3"/>
  <c r="L77" i="3"/>
  <c r="L77" i="7" s="1"/>
  <c r="L26" i="3"/>
  <c r="L26" i="7" s="1"/>
  <c r="L197" i="3"/>
  <c r="L28" i="3"/>
  <c r="L28" i="7" s="1"/>
  <c r="L211" i="3"/>
  <c r="L97" i="3"/>
  <c r="L97" i="7" s="1"/>
  <c r="L48" i="3"/>
  <c r="L48" i="7" s="1"/>
  <c r="L51" i="3"/>
  <c r="L51" i="7" s="1"/>
  <c r="L221" i="3"/>
  <c r="L115" i="3"/>
  <c r="L115" i="7" s="1"/>
  <c r="L172" i="3"/>
  <c r="L122" i="3"/>
  <c r="L122" i="7" s="1"/>
  <c r="L194" i="3"/>
  <c r="L143" i="3"/>
  <c r="L143" i="7" s="1"/>
  <c r="L95" i="3"/>
  <c r="L95" i="7" s="1"/>
  <c r="L148" i="3"/>
  <c r="L148" i="7" s="1"/>
  <c r="L215" i="3"/>
  <c r="L49" i="3"/>
  <c r="L49" i="7" s="1"/>
  <c r="L170" i="3"/>
  <c r="L119" i="3"/>
  <c r="L119" i="7" s="1"/>
  <c r="L173" i="3"/>
  <c r="L67" i="3"/>
  <c r="L67" i="7" s="1"/>
  <c r="L25" i="3"/>
  <c r="L25" i="7" s="1"/>
  <c r="L91" i="3"/>
  <c r="L91" i="7" s="1"/>
  <c r="L216" i="3"/>
  <c r="L50" i="3"/>
  <c r="L50" i="7" s="1"/>
  <c r="L102" i="3"/>
  <c r="L102" i="7" s="1"/>
  <c r="L168" i="3"/>
  <c r="L222" i="3"/>
  <c r="L120" i="3"/>
  <c r="L120" i="7" s="1"/>
  <c r="L66" i="3"/>
  <c r="L66" i="7" s="1"/>
  <c r="L139" i="3"/>
  <c r="L139" i="7" s="1"/>
  <c r="L196" i="3"/>
  <c r="L146" i="3"/>
  <c r="L146" i="7" s="1"/>
  <c r="L96" i="3"/>
  <c r="L96" i="7" s="1"/>
  <c r="L98" i="3"/>
  <c r="L98" i="7" s="1"/>
  <c r="L114" i="3"/>
  <c r="L114" i="7" s="1"/>
  <c r="L54" i="3"/>
  <c r="L54" i="7" s="1"/>
  <c r="L121" i="3"/>
  <c r="L121" i="7" s="1"/>
  <c r="L76" i="3"/>
  <c r="L76" i="7" s="1"/>
  <c r="L144" i="3"/>
  <c r="L144" i="7" s="1"/>
  <c r="L90" i="3"/>
  <c r="L90" i="7" s="1"/>
  <c r="L198" i="3"/>
  <c r="L29" i="3"/>
  <c r="L29" i="7" s="1"/>
  <c r="L150" i="3"/>
  <c r="L150" i="7" s="1"/>
  <c r="L5" i="3"/>
  <c r="L5" i="7" s="1"/>
  <c r="L71" i="3"/>
  <c r="L71" i="7" s="1"/>
  <c r="L123" i="3"/>
  <c r="L123" i="7" s="1"/>
  <c r="L186" i="3"/>
  <c r="L6" i="3"/>
  <c r="L6" i="7" s="1"/>
  <c r="L72" i="3"/>
  <c r="L72" i="7" s="1"/>
  <c r="L124" i="3"/>
  <c r="L124" i="7" s="1"/>
  <c r="L187" i="3"/>
  <c r="L18" i="3"/>
  <c r="L18" i="7" s="1"/>
  <c r="L73" i="3"/>
  <c r="L73" i="7" s="1"/>
  <c r="L125" i="3"/>
  <c r="L125" i="7" s="1"/>
  <c r="L191" i="3"/>
  <c r="L195" i="3"/>
  <c r="L27" i="3"/>
  <c r="L27" i="7" s="1"/>
  <c r="L210" i="3"/>
  <c r="L42" i="3"/>
  <c r="L42" i="7" s="1"/>
  <c r="L19" i="3"/>
  <c r="L19" i="7" s="1"/>
  <c r="L74" i="3"/>
  <c r="L74" i="7" s="1"/>
  <c r="L126" i="3"/>
  <c r="L126" i="7" s="1"/>
  <c r="L192" i="3"/>
  <c r="L23" i="3"/>
  <c r="L23" i="7" s="1"/>
  <c r="L75" i="3"/>
  <c r="L75" i="7" s="1"/>
  <c r="L138" i="3"/>
  <c r="L138" i="7" s="1"/>
  <c r="L193" i="3"/>
  <c r="L24" i="3"/>
  <c r="L24" i="7" s="1"/>
  <c r="L78" i="3"/>
  <c r="L78" i="7" s="1"/>
  <c r="L145" i="3"/>
  <c r="L145" i="7" s="1"/>
  <c r="L147" i="3"/>
  <c r="L147" i="7" s="1"/>
  <c r="L30" i="3"/>
  <c r="L30" i="7" s="1"/>
  <c r="L149" i="3"/>
  <c r="L149" i="7" s="1"/>
  <c r="L43" i="3"/>
  <c r="L43" i="7" s="1"/>
  <c r="Q2" i="5"/>
  <c r="N52" i="3" s="1"/>
  <c r="N52" i="7" s="1"/>
  <c r="R2" i="5"/>
  <c r="C2" i="5"/>
  <c r="N117" i="3" l="1"/>
  <c r="N117" i="7" s="1"/>
  <c r="N83" i="3"/>
  <c r="N83" i="7" s="1"/>
  <c r="N147" i="3"/>
  <c r="N147" i="7" s="1"/>
  <c r="N154" i="3"/>
  <c r="N154" i="7" s="1"/>
  <c r="N80" i="3"/>
  <c r="N80" i="7" s="1"/>
  <c r="N20" i="3"/>
  <c r="N20" i="7" s="1"/>
  <c r="N28" i="3"/>
  <c r="N28" i="7" s="1"/>
  <c r="N64" i="3"/>
  <c r="N64" i="7" s="1"/>
  <c r="N106" i="3"/>
  <c r="N106" i="7" s="1"/>
  <c r="N99" i="3"/>
  <c r="N99" i="7" s="1"/>
  <c r="N139" i="3"/>
  <c r="N139" i="7" s="1"/>
  <c r="N161" i="3"/>
  <c r="N161" i="7" s="1"/>
  <c r="N53" i="3"/>
  <c r="N53" i="7" s="1"/>
  <c r="N145" i="3"/>
  <c r="N145" i="7" s="1"/>
  <c r="N58" i="3"/>
  <c r="N58" i="7" s="1"/>
  <c r="N91" i="3"/>
  <c r="N91" i="7" s="1"/>
  <c r="N130" i="3"/>
  <c r="N130" i="7" s="1"/>
  <c r="N123" i="3"/>
  <c r="N123" i="7" s="1"/>
  <c r="N132" i="3"/>
  <c r="N132" i="7" s="1"/>
  <c r="N134" i="3"/>
  <c r="N134" i="7" s="1"/>
  <c r="N45" i="3"/>
  <c r="N45" i="7" s="1"/>
  <c r="N50" i="3"/>
  <c r="N50" i="7" s="1"/>
  <c r="N98" i="3"/>
  <c r="N98" i="7" s="1"/>
  <c r="N31" i="3"/>
  <c r="N31" i="7" s="1"/>
  <c r="N140" i="3"/>
  <c r="N140" i="7" s="1"/>
  <c r="N69" i="3"/>
  <c r="N69" i="7" s="1"/>
  <c r="N95" i="3"/>
  <c r="N95" i="7" s="1"/>
  <c r="N49" i="3"/>
  <c r="N49" i="7" s="1"/>
  <c r="N82" i="3"/>
  <c r="N82" i="7" s="1"/>
  <c r="N7" i="3"/>
  <c r="N7" i="7" s="1"/>
  <c r="N131" i="3"/>
  <c r="N131" i="7" s="1"/>
  <c r="N27" i="3"/>
  <c r="N27" i="7" s="1"/>
  <c r="N6" i="3"/>
  <c r="N6" i="7" s="1"/>
  <c r="N34" i="3"/>
  <c r="N34" i="7" s="1"/>
  <c r="N105" i="3"/>
  <c r="N105" i="7" s="1"/>
  <c r="N146" i="3"/>
  <c r="N146" i="7" s="1"/>
  <c r="N141" i="3"/>
  <c r="N141" i="7" s="1"/>
  <c r="N149" i="3"/>
  <c r="N149" i="7" s="1"/>
  <c r="N96" i="3"/>
  <c r="N96" i="7" s="1"/>
  <c r="N155" i="3"/>
  <c r="N155" i="7" s="1"/>
  <c r="N76" i="3"/>
  <c r="N76" i="7" s="1"/>
  <c r="N9" i="3"/>
  <c r="N9" i="7" s="1"/>
  <c r="N93" i="3"/>
  <c r="N93" i="7" s="1"/>
  <c r="N111" i="3"/>
  <c r="N111" i="7" s="1"/>
  <c r="N73" i="3"/>
  <c r="N73" i="7" s="1"/>
  <c r="N51" i="3"/>
  <c r="N51" i="7" s="1"/>
  <c r="N122" i="3"/>
  <c r="N122" i="7" s="1"/>
  <c r="N23" i="3"/>
  <c r="N23" i="7" s="1"/>
  <c r="N100" i="3"/>
  <c r="N100" i="7" s="1"/>
  <c r="N44" i="3"/>
  <c r="N44" i="7" s="1"/>
  <c r="N108" i="3"/>
  <c r="N108" i="7" s="1"/>
  <c r="N72" i="3"/>
  <c r="N72" i="7" s="1"/>
  <c r="N153" i="3"/>
  <c r="N153" i="7" s="1"/>
  <c r="N61" i="3"/>
  <c r="N61" i="7" s="1"/>
  <c r="N103" i="3"/>
  <c r="N103" i="7" s="1"/>
  <c r="N57" i="3"/>
  <c r="N57" i="7" s="1"/>
  <c r="N62" i="3"/>
  <c r="N62" i="7" s="1"/>
  <c r="N112" i="3"/>
  <c r="N112" i="7" s="1"/>
  <c r="N124" i="3"/>
  <c r="N124" i="7" s="1"/>
  <c r="N86" i="3"/>
  <c r="N86" i="7" s="1"/>
  <c r="N38" i="3"/>
  <c r="N38" i="7" s="1"/>
  <c r="N40" i="3"/>
  <c r="N40" i="7" s="1"/>
  <c r="N65" i="3"/>
  <c r="N65" i="7" s="1"/>
  <c r="N4" i="3"/>
  <c r="N4" i="7" s="1"/>
  <c r="N125" i="3"/>
  <c r="N125" i="7" s="1"/>
  <c r="N127" i="3"/>
  <c r="N127" i="7" s="1"/>
  <c r="N46" i="3"/>
  <c r="N46" i="7" s="1"/>
  <c r="N89" i="3"/>
  <c r="N89" i="7" s="1"/>
  <c r="N35" i="3"/>
  <c r="N35" i="7" s="1"/>
  <c r="N39" i="3"/>
  <c r="N39" i="7" s="1"/>
  <c r="N85" i="3"/>
  <c r="N85" i="7" s="1"/>
  <c r="N12" i="3"/>
  <c r="N12" i="7" s="1"/>
  <c r="N133" i="3"/>
  <c r="N133" i="7" s="1"/>
  <c r="N88" i="3"/>
  <c r="N88" i="7" s="1"/>
  <c r="N33" i="3"/>
  <c r="N33" i="7" s="1"/>
  <c r="N77" i="3"/>
  <c r="N77" i="7" s="1"/>
  <c r="N119" i="3"/>
  <c r="N119" i="7" s="1"/>
  <c r="N81" i="3"/>
  <c r="N81" i="7" s="1"/>
  <c r="N68" i="3"/>
  <c r="N68" i="7" s="1"/>
  <c r="N151" i="3"/>
  <c r="N151" i="7" s="1"/>
  <c r="N158" i="3"/>
  <c r="N158" i="7" s="1"/>
  <c r="N128" i="3"/>
  <c r="N128" i="7" s="1"/>
  <c r="N60" i="3"/>
  <c r="N60" i="7" s="1"/>
  <c r="N21" i="3"/>
  <c r="N21" i="7" s="1"/>
  <c r="N126" i="3"/>
  <c r="N126" i="7" s="1"/>
  <c r="N144" i="3"/>
  <c r="N144" i="7" s="1"/>
  <c r="N22" i="3"/>
  <c r="N22" i="7" s="1"/>
  <c r="N113" i="3"/>
  <c r="N113" i="7" s="1"/>
  <c r="N36" i="3"/>
  <c r="N36" i="7" s="1"/>
  <c r="N30" i="3"/>
  <c r="N30" i="7" s="1"/>
  <c r="N104" i="3"/>
  <c r="N104" i="7" s="1"/>
  <c r="N115" i="3"/>
  <c r="N115" i="7" s="1"/>
  <c r="N101" i="3"/>
  <c r="N101" i="7" s="1"/>
  <c r="N135" i="3"/>
  <c r="N135" i="7" s="1"/>
  <c r="N97" i="3"/>
  <c r="N97" i="7" s="1"/>
  <c r="N11" i="3"/>
  <c r="N11" i="7" s="1"/>
  <c r="N121" i="3"/>
  <c r="N121" i="7" s="1"/>
  <c r="N13" i="3"/>
  <c r="N13" i="7" s="1"/>
  <c r="N116" i="3"/>
  <c r="N116" i="7" s="1"/>
  <c r="N78" i="3"/>
  <c r="N78" i="7" s="1"/>
  <c r="N79" i="3"/>
  <c r="N79" i="7" s="1"/>
  <c r="N160" i="3"/>
  <c r="N160" i="7" s="1"/>
  <c r="N114" i="3"/>
  <c r="N114" i="7" s="1"/>
  <c r="N110" i="3"/>
  <c r="N110" i="7" s="1"/>
  <c r="N8" i="3"/>
  <c r="N8" i="7" s="1"/>
  <c r="N150" i="3"/>
  <c r="N150" i="7" s="1"/>
  <c r="N143" i="3"/>
  <c r="N143" i="7" s="1"/>
  <c r="N102" i="3"/>
  <c r="N102" i="7" s="1"/>
  <c r="N129" i="3"/>
  <c r="N129" i="7" s="1"/>
  <c r="N120" i="3"/>
  <c r="N120" i="7" s="1"/>
  <c r="N92" i="3"/>
  <c r="N92" i="7" s="1"/>
  <c r="N118" i="3"/>
  <c r="N118" i="7" s="1"/>
  <c r="N152" i="3"/>
  <c r="N152" i="7" s="1"/>
  <c r="N90" i="3"/>
  <c r="N90" i="7" s="1"/>
  <c r="N156" i="3"/>
  <c r="N156" i="7" s="1"/>
  <c r="N157" i="3"/>
  <c r="N157" i="7" s="1"/>
  <c r="N67" i="3"/>
  <c r="N67" i="7" s="1"/>
  <c r="N162" i="3"/>
  <c r="N162" i="7" s="1"/>
  <c r="N137" i="3"/>
  <c r="N137" i="7" s="1"/>
  <c r="N47" i="3"/>
  <c r="N47" i="7" s="1"/>
  <c r="N10" i="3"/>
  <c r="N10" i="7" s="1"/>
  <c r="N37" i="3"/>
  <c r="N37" i="7" s="1"/>
  <c r="N25" i="3"/>
  <c r="N25" i="7" s="1"/>
  <c r="N5" i="3"/>
  <c r="N5" i="7" s="1"/>
  <c r="N43" i="3"/>
  <c r="N43" i="7" s="1"/>
  <c r="N24" i="3"/>
  <c r="N24" i="7" s="1"/>
  <c r="N109" i="3"/>
  <c r="N109" i="7" s="1"/>
  <c r="N159" i="3"/>
  <c r="N159" i="7" s="1"/>
  <c r="N56" i="3"/>
  <c r="N56" i="7" s="1"/>
  <c r="N136" i="3"/>
  <c r="N136" i="7" s="1"/>
  <c r="N148" i="3"/>
  <c r="N148" i="7" s="1"/>
  <c r="N142" i="3"/>
  <c r="N142" i="7" s="1"/>
  <c r="N71" i="3"/>
  <c r="N71" i="7" s="1"/>
  <c r="N17" i="3"/>
  <c r="N17" i="7" s="1"/>
  <c r="N138" i="3"/>
  <c r="N138" i="7" s="1"/>
  <c r="N94" i="3"/>
  <c r="N94" i="7" s="1"/>
  <c r="N70" i="3"/>
  <c r="N70" i="7" s="1"/>
  <c r="N16" i="3"/>
  <c r="N16" i="7" s="1"/>
  <c r="N107" i="3"/>
  <c r="N107" i="7" s="1"/>
  <c r="N48" i="3"/>
  <c r="N48" i="7" s="1"/>
  <c r="N59" i="3"/>
  <c r="N59" i="7" s="1"/>
  <c r="N63" i="3"/>
  <c r="N63" i="7" s="1"/>
  <c r="N26" i="3"/>
  <c r="N26" i="7" s="1"/>
  <c r="N42" i="3"/>
  <c r="N42" i="7" s="1"/>
  <c r="N74" i="3"/>
  <c r="N74" i="7" s="1"/>
  <c r="N75" i="3"/>
  <c r="N75" i="7" s="1"/>
  <c r="N18" i="3"/>
  <c r="N18" i="7" s="1"/>
  <c r="N55" i="3"/>
  <c r="N55" i="7" s="1"/>
  <c r="N84" i="3"/>
  <c r="N84" i="7" s="1"/>
  <c r="N54" i="3"/>
  <c r="N54" i="7" s="1"/>
  <c r="N29" i="3"/>
  <c r="N29" i="7" s="1"/>
  <c r="N87" i="3"/>
  <c r="N87" i="7" s="1"/>
  <c r="N41" i="3"/>
  <c r="N41" i="7" s="1"/>
  <c r="N19" i="3"/>
  <c r="N19" i="7" s="1"/>
  <c r="N14" i="3"/>
  <c r="N14" i="7" s="1"/>
  <c r="N32" i="3"/>
  <c r="N32" i="7" s="1"/>
  <c r="N66" i="3"/>
  <c r="N66" i="7" s="1"/>
  <c r="N15" i="3"/>
  <c r="N15" i="7" s="1"/>
</calcChain>
</file>

<file path=xl/sharedStrings.xml><?xml version="1.0" encoding="utf-8"?>
<sst xmlns="http://schemas.openxmlformats.org/spreadsheetml/2006/main" count="76" uniqueCount="51">
  <si>
    <t>Total Population</t>
  </si>
  <si>
    <t>Rural Population</t>
  </si>
  <si>
    <t>RUCC</t>
  </si>
  <si>
    <t>SVI</t>
  </si>
  <si>
    <t xml:space="preserve"> </t>
  </si>
  <si>
    <t>0: Control Formulas</t>
  </si>
  <si>
    <t>1: No Carveout</t>
  </si>
  <si>
    <t>2: Rural Carveout</t>
  </si>
  <si>
    <t>County</t>
  </si>
  <si>
    <t>Percent population only</t>
  </si>
  <si>
    <t>Poverty population only</t>
  </si>
  <si>
    <t>SVI only</t>
  </si>
  <si>
    <t>Pop 18 and under only</t>
  </si>
  <si>
    <t>Rural population only</t>
  </si>
  <si>
    <t>Povery pop +Floor</t>
  </si>
  <si>
    <t>Poverty pop + Rurality</t>
  </si>
  <si>
    <t>Poverty pop + Floor + Rurality</t>
  </si>
  <si>
    <t>Poverty Pop + Floor + Rurality + SVI</t>
  </si>
  <si>
    <t>Poverty Pop + Floor + Rurality + Pop 18 and under</t>
  </si>
  <si>
    <t>Carveout + Poverty Pop</t>
  </si>
  <si>
    <t>Percent of State Population</t>
  </si>
  <si>
    <t>Percent Rural</t>
  </si>
  <si>
    <t>Rural</t>
  </si>
  <si>
    <t>Population Living at or Below 125% FPL</t>
  </si>
  <si>
    <t>Percent Below 125% FPL</t>
  </si>
  <si>
    <t>Percent Below 125% FPL- Urban Pop</t>
  </si>
  <si>
    <t>Percent Below 125% FPL- Rural Pop</t>
  </si>
  <si>
    <t>Population 18 and Under</t>
  </si>
  <si>
    <t>Percent Population 18 and under</t>
  </si>
  <si>
    <t>Percent Pop 18 and Under- Urban Pop</t>
  </si>
  <si>
    <t>Percent Pop 18 and Under- Rural Pop</t>
  </si>
  <si>
    <r>
      <rPr>
        <sz val="12"/>
        <color theme="1"/>
        <rFont val="Calibri"/>
        <family val="2"/>
        <scheme val="minor"/>
      </rPr>
      <t>County Name</t>
    </r>
    <r>
      <rPr>
        <vertAlign val="superscript"/>
        <sz val="12"/>
        <color theme="1"/>
        <rFont val="Calibri"/>
        <family val="2"/>
        <scheme val="minor"/>
      </rPr>
      <t>(a)</t>
    </r>
  </si>
  <si>
    <t>Poverty Population</t>
  </si>
  <si>
    <r>
      <t>Need Measure</t>
    </r>
    <r>
      <rPr>
        <vertAlign val="superscript"/>
        <sz val="12"/>
        <color theme="1"/>
        <rFont val="Calibri"/>
        <family val="2"/>
        <scheme val="minor"/>
      </rPr>
      <t>(b)</t>
    </r>
  </si>
  <si>
    <t>Total</t>
  </si>
  <si>
    <r>
      <t>SVI</t>
    </r>
    <r>
      <rPr>
        <vertAlign val="superscript"/>
        <sz val="12"/>
        <color theme="1"/>
        <rFont val="Calibri"/>
        <family val="2"/>
        <scheme val="minor"/>
      </rPr>
      <t>(c)</t>
    </r>
  </si>
  <si>
    <t>State</t>
  </si>
  <si>
    <t>Funding Allotment (in dollars)</t>
  </si>
  <si>
    <t>Number of Counties</t>
  </si>
  <si>
    <t>Number of Formula Items</t>
  </si>
  <si>
    <t>Floor</t>
  </si>
  <si>
    <t>Two</t>
  </si>
  <si>
    <t>Three</t>
  </si>
  <si>
    <t>Four</t>
  </si>
  <si>
    <t>SVI Urban</t>
  </si>
  <si>
    <t xml:space="preserve">SVI Rural </t>
  </si>
  <si>
    <t xml:space="preserve">Formula </t>
  </si>
  <si>
    <t>Carveout + Poverty + SVI</t>
  </si>
  <si>
    <t>Carveout + Poverty + Measure of Need</t>
  </si>
  <si>
    <t>-</t>
  </si>
  <si>
    <t>Carveout Allotment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</si>
</sst>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000"/>
    <numFmt numFmtId="165" formatCode="0.00000%"/>
  </numFmts>
  <fonts count="12" x14ac:knownFonts="1">
    <font>
      <sz val="11"/>
      <color theme="1"/>
      <name val="Calibri"/>
      <family val="2"/>
      <scheme val="minor"/>
    </font>
    <font>
      <sz val="12"/>
      <color theme="1"/>
      <name val="Calibri"/>
      <family val="2"/>
      <scheme val="minor"/>
    </font>
    <font>
      <sz val="11"/>
      <color theme="1" tint="0.34998626667073579"/>
      <name val="Calibri"/>
      <family val="2"/>
      <scheme val="minor"/>
    </font>
    <font>
      <sz val="20"/>
      <color theme="1"/>
      <name val="Calibri"/>
      <family val="2"/>
      <scheme val="minor"/>
    </font>
    <font>
      <b/>
      <sz val="12"/>
      <color theme="1"/>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2"/>
      <color theme="1"/>
      <name val="Calibri"/>
      <family val="2"/>
      <scheme val="minor"/>
    </font>
    <font>
      <vertAlign val="superscript"/>
      <sz val="12"/>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5" tint="0.39997558519241921"/>
        <bgColor indexed="64"/>
      </patternFill>
    </fill>
  </fills>
  <borders count="20">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bottom style="thick">
        <color indexed="64"/>
      </bottom>
      <diagonal/>
    </border>
    <border>
      <left/>
      <right style="thick">
        <color indexed="64"/>
      </right>
      <top/>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style="thick">
        <color indexed="64"/>
      </right>
      <top style="thick">
        <color indexed="64"/>
      </top>
      <bottom style="thick">
        <color indexed="64"/>
      </bottom>
      <diagonal/>
    </border>
    <border>
      <left style="thick">
        <color indexed="64"/>
      </left>
      <right style="medium">
        <color indexed="64"/>
      </right>
      <top/>
      <bottom style="thick">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4">
    <xf numFmtId="0" fontId="0"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cellStyleXfs>
  <cellXfs count="58">
    <xf numFmtId="0" fontId="0" fillId="0" borderId="0" xfId="0"/>
    <xf numFmtId="0" fontId="0" fillId="2" borderId="0" xfId="0" applyFill="1"/>
    <xf numFmtId="0" fontId="3" fillId="2" borderId="0" xfId="0" applyFont="1" applyFill="1"/>
    <xf numFmtId="0" fontId="0" fillId="3" borderId="0" xfId="0" applyFill="1"/>
    <xf numFmtId="0" fontId="2" fillId="2" borderId="0" xfId="0" applyFont="1" applyFill="1"/>
    <xf numFmtId="0" fontId="0" fillId="4" borderId="2" xfId="0" applyFill="1" applyBorder="1"/>
    <xf numFmtId="0" fontId="0" fillId="5" borderId="0" xfId="0" applyFill="1"/>
    <xf numFmtId="0" fontId="0" fillId="5" borderId="2" xfId="0" applyFill="1" applyBorder="1"/>
    <xf numFmtId="0" fontId="9" fillId="5" borderId="2" xfId="0" applyFont="1" applyFill="1" applyBorder="1" applyAlignment="1">
      <alignment horizontal="center"/>
    </xf>
    <xf numFmtId="10" fontId="0" fillId="5" borderId="2" xfId="1" applyNumberFormat="1" applyFont="1" applyFill="1" applyBorder="1" applyAlignment="1">
      <alignment horizontal="center"/>
    </xf>
    <xf numFmtId="9" fontId="9" fillId="5" borderId="2" xfId="1" applyFont="1" applyFill="1" applyBorder="1" applyAlignment="1">
      <alignment horizontal="center"/>
    </xf>
    <xf numFmtId="1" fontId="9" fillId="5" borderId="2" xfId="1" applyNumberFormat="1" applyFont="1" applyFill="1" applyBorder="1" applyAlignment="1">
      <alignment horizontal="center"/>
    </xf>
    <xf numFmtId="0" fontId="0" fillId="5" borderId="2" xfId="0" applyFill="1" applyBorder="1" applyAlignment="1">
      <alignment horizontal="center"/>
    </xf>
    <xf numFmtId="9" fontId="0" fillId="5" borderId="2" xfId="1" applyFont="1" applyFill="1" applyBorder="1" applyAlignment="1">
      <alignment horizontal="center"/>
    </xf>
    <xf numFmtId="1" fontId="0" fillId="5" borderId="2" xfId="1" applyNumberFormat="1" applyFont="1" applyFill="1" applyBorder="1" applyAlignment="1">
      <alignment horizontal="center"/>
    </xf>
    <xf numFmtId="0" fontId="0" fillId="3" borderId="2" xfId="0" applyFill="1" applyBorder="1" applyAlignment="1">
      <alignment horizontal="center"/>
    </xf>
    <xf numFmtId="10" fontId="0" fillId="3" borderId="2" xfId="1" applyNumberFormat="1" applyFont="1" applyFill="1" applyBorder="1" applyAlignment="1">
      <alignment horizontal="center"/>
    </xf>
    <xf numFmtId="9" fontId="0" fillId="3" borderId="2" xfId="1" applyFont="1" applyFill="1" applyBorder="1" applyAlignment="1">
      <alignment horizontal="center"/>
    </xf>
    <xf numFmtId="0" fontId="0" fillId="3" borderId="2" xfId="0" applyFill="1" applyBorder="1"/>
    <xf numFmtId="0" fontId="7" fillId="5" borderId="2" xfId="0" applyFont="1" applyFill="1" applyBorder="1"/>
    <xf numFmtId="0" fontId="0" fillId="5" borderId="1" xfId="0" applyFill="1" applyBorder="1"/>
    <xf numFmtId="0" fontId="10" fillId="6" borderId="2" xfId="0" applyFont="1" applyFill="1" applyBorder="1" applyAlignment="1">
      <alignment horizontal="center" vertical="center" wrapText="1"/>
    </xf>
    <xf numFmtId="0" fontId="0" fillId="6" borderId="2" xfId="0" applyFill="1" applyBorder="1" applyAlignment="1">
      <alignment horizontal="center" vertical="center"/>
    </xf>
    <xf numFmtId="0" fontId="5" fillId="6" borderId="3" xfId="0" applyFont="1" applyFill="1" applyBorder="1" applyAlignment="1">
      <alignment horizontal="center" wrapText="1"/>
    </xf>
    <xf numFmtId="0" fontId="5" fillId="6" borderId="5" xfId="0" applyFont="1" applyFill="1" applyBorder="1" applyAlignment="1">
      <alignment horizontal="center" wrapText="1"/>
    </xf>
    <xf numFmtId="0" fontId="5" fillId="6" borderId="5" xfId="0" applyFont="1" applyFill="1" applyBorder="1" applyAlignment="1">
      <alignment horizontal="center" vertical="center" wrapText="1"/>
    </xf>
    <xf numFmtId="0" fontId="4" fillId="7" borderId="6" xfId="0" applyFont="1" applyFill="1" applyBorder="1" applyAlignment="1">
      <alignment horizontal="center"/>
    </xf>
    <xf numFmtId="0" fontId="4" fillId="7" borderId="7" xfId="0" applyFont="1" applyFill="1" applyBorder="1" applyAlignment="1">
      <alignment horizontal="center"/>
    </xf>
    <xf numFmtId="0" fontId="4" fillId="7" borderId="8" xfId="0" applyFont="1" applyFill="1" applyBorder="1" applyAlignment="1">
      <alignment horizontal="center"/>
    </xf>
    <xf numFmtId="43" fontId="0" fillId="5" borderId="2" xfId="2" applyFont="1" applyFill="1" applyBorder="1"/>
    <xf numFmtId="0" fontId="0" fillId="4" borderId="2" xfId="0" applyFill="1" applyBorder="1" applyAlignment="1">
      <alignment horizontal="left"/>
    </xf>
    <xf numFmtId="2" fontId="0" fillId="5" borderId="2" xfId="1" applyNumberFormat="1" applyFont="1" applyFill="1" applyBorder="1" applyAlignment="1">
      <alignment horizontal="center"/>
    </xf>
    <xf numFmtId="164" fontId="9" fillId="5" borderId="2" xfId="2" applyNumberFormat="1" applyFont="1" applyFill="1" applyBorder="1" applyAlignment="1">
      <alignment horizontal="left"/>
    </xf>
    <xf numFmtId="0" fontId="4" fillId="7" borderId="9" xfId="0" applyFont="1" applyFill="1" applyBorder="1" applyAlignment="1">
      <alignment horizontal="center"/>
    </xf>
    <xf numFmtId="0" fontId="0" fillId="7" borderId="0" xfId="0" applyFill="1" applyAlignment="1">
      <alignment horizontal="center"/>
    </xf>
    <xf numFmtId="0" fontId="0" fillId="7" borderId="4" xfId="0" applyFill="1" applyBorder="1"/>
    <xf numFmtId="0" fontId="4" fillId="6" borderId="2" xfId="0" applyFont="1" applyFill="1" applyBorder="1" applyAlignment="1">
      <alignment textRotation="45"/>
    </xf>
    <xf numFmtId="0" fontId="8" fillId="6" borderId="2" xfId="0" applyFont="1" applyFill="1" applyBorder="1" applyAlignment="1">
      <alignment textRotation="45" wrapText="1"/>
    </xf>
    <xf numFmtId="0" fontId="8" fillId="6" borderId="2" xfId="0" applyFont="1" applyFill="1" applyBorder="1" applyAlignment="1">
      <alignment horizontal="center" textRotation="45" wrapText="1"/>
    </xf>
    <xf numFmtId="0" fontId="0" fillId="2" borderId="10" xfId="0" applyFill="1" applyBorder="1"/>
    <xf numFmtId="0" fontId="0" fillId="2" borderId="11" xfId="0" applyFill="1" applyBorder="1"/>
    <xf numFmtId="0" fontId="0" fillId="2" borderId="13" xfId="0" applyFill="1" applyBorder="1"/>
    <xf numFmtId="0" fontId="0" fillId="2" borderId="14" xfId="0" applyFill="1" applyBorder="1"/>
    <xf numFmtId="0" fontId="0" fillId="4" borderId="14" xfId="0" applyFill="1" applyBorder="1"/>
    <xf numFmtId="0" fontId="0" fillId="4" borderId="15" xfId="0" applyFill="1" applyBorder="1"/>
    <xf numFmtId="0" fontId="10" fillId="2" borderId="12" xfId="0" applyFont="1" applyFill="1" applyBorder="1"/>
    <xf numFmtId="0" fontId="0" fillId="6" borderId="12" xfId="0" applyFill="1" applyBorder="1"/>
    <xf numFmtId="44" fontId="0" fillId="4" borderId="12" xfId="3" applyFont="1" applyFill="1" applyBorder="1"/>
    <xf numFmtId="165" fontId="0" fillId="5" borderId="2" xfId="1" applyNumberFormat="1" applyFont="1" applyFill="1" applyBorder="1" applyAlignment="1">
      <alignment horizontal="center"/>
    </xf>
    <xf numFmtId="0" fontId="0" fillId="5" borderId="2" xfId="2" applyNumberFormat="1" applyFont="1" applyFill="1" applyBorder="1"/>
    <xf numFmtId="44" fontId="0" fillId="2" borderId="0" xfId="0" applyNumberFormat="1" applyFill="1"/>
    <xf numFmtId="43" fontId="0" fillId="5" borderId="2" xfId="0" applyNumberFormat="1" applyFill="1" applyBorder="1"/>
    <xf numFmtId="2" fontId="0" fillId="5" borderId="2" xfId="2" applyNumberFormat="1" applyFont="1" applyFill="1" applyBorder="1"/>
    <xf numFmtId="0" fontId="4" fillId="7" borderId="19" xfId="0" applyFont="1" applyFill="1" applyBorder="1" applyAlignment="1">
      <alignment horizontal="center"/>
    </xf>
    <xf numFmtId="0" fontId="4" fillId="7" borderId="17" xfId="0" applyFont="1" applyFill="1" applyBorder="1" applyAlignment="1">
      <alignment horizontal="center"/>
    </xf>
    <xf numFmtId="0" fontId="4" fillId="7" borderId="9" xfId="0" applyFont="1" applyFill="1" applyBorder="1" applyAlignment="1">
      <alignment horizontal="center"/>
    </xf>
    <xf numFmtId="0" fontId="4" fillId="7" borderId="16" xfId="0" applyFont="1" applyFill="1" applyBorder="1" applyAlignment="1">
      <alignment horizontal="center"/>
    </xf>
    <xf numFmtId="0" fontId="4" fillId="7" borderId="18" xfId="0" applyFont="1" applyFill="1" applyBorder="1" applyAlignment="1">
      <alignment horizontal="center"/>
    </xf>
  </cellXfs>
  <cellStyles count="4">
    <cellStyle name="Comma" xfId="2" builtinId="3"/>
    <cellStyle name="Currency" xfId="3"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139390</xdr:colOff>
      <xdr:row>0</xdr:row>
      <xdr:rowOff>130661</xdr:rowOff>
    </xdr:from>
    <xdr:to>
      <xdr:col>13</xdr:col>
      <xdr:colOff>342900</xdr:colOff>
      <xdr:row>26</xdr:row>
      <xdr:rowOff>127000</xdr:rowOff>
    </xdr:to>
    <xdr:sp macro="" textlink="">
      <xdr:nvSpPr>
        <xdr:cNvPr id="2" name="TextBox 1">
          <a:extLst>
            <a:ext uri="{FF2B5EF4-FFF2-40B4-BE49-F238E27FC236}">
              <a16:creationId xmlns:a16="http://schemas.microsoft.com/office/drawing/2014/main" id="{BDD1FCAE-81DF-400D-B8E8-50245304D5ED}"/>
            </a:ext>
          </a:extLst>
        </xdr:cNvPr>
        <xdr:cNvSpPr txBox="1"/>
      </xdr:nvSpPr>
      <xdr:spPr>
        <a:xfrm>
          <a:off x="139390" y="130661"/>
          <a:ext cx="9284010" cy="5089039"/>
        </a:xfrm>
        <a:prstGeom prst="rect">
          <a:avLst/>
        </a:prstGeom>
        <a:solidFill>
          <a:schemeClr val="bg1">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u="sng" baseline="0"/>
            <a:t>Introduction</a:t>
          </a:r>
        </a:p>
        <a:p>
          <a:r>
            <a:rPr lang="en-US" sz="1600" u="none" baseline="0"/>
            <a:t>This workbook is designed to allow for easy calculation of funding formula </a:t>
          </a:r>
        </a:p>
        <a:p>
          <a:r>
            <a:rPr lang="en-US" sz="1600" u="none" baseline="0"/>
            <a:t>options with use of state-specific, county-level data. In order for this to run </a:t>
          </a:r>
        </a:p>
        <a:p>
          <a:r>
            <a:rPr lang="en-US" sz="1600" u="none" baseline="0"/>
            <a:t>smoothly, please only input data into cells that are shaded </a:t>
          </a:r>
          <a:r>
            <a:rPr lang="en-US" sz="1600" u="none" baseline="0">
              <a:solidFill>
                <a:schemeClr val="accent1">
                  <a:lumMod val="60000"/>
                  <a:lumOff val="40000"/>
                </a:schemeClr>
              </a:solidFill>
            </a:rPr>
            <a:t>BLUE. </a:t>
          </a:r>
        </a:p>
        <a:p>
          <a:endParaRPr lang="en-US" sz="1600" u="none" baseline="0">
            <a:solidFill>
              <a:schemeClr val="accent1">
                <a:lumMod val="60000"/>
                <a:lumOff val="40000"/>
              </a:schemeClr>
            </a:solidFill>
          </a:endParaRPr>
        </a:p>
        <a:p>
          <a:r>
            <a:rPr lang="en-US" sz="1600" u="none" baseline="0">
              <a:solidFill>
                <a:sysClr val="windowText" lastClr="000000"/>
              </a:solidFill>
            </a:rPr>
            <a:t>Please note, due to differing state sizes and county amounts, you might not have to input data into every blue cell. Text boxes shaded gray will be included throughout the workbook to provide instructions, additional context, or insights into the formulas themselves. </a:t>
          </a:r>
        </a:p>
        <a:p>
          <a:endParaRPr lang="en-US" sz="1600" u="none" baseline="0">
            <a:solidFill>
              <a:sysClr val="windowText" lastClr="000000"/>
            </a:solidFill>
          </a:endParaRPr>
        </a:p>
        <a:p>
          <a:r>
            <a:rPr lang="en-US" sz="1600" u="none" baseline="0">
              <a:solidFill>
                <a:sysClr val="windowText" lastClr="000000"/>
              </a:solidFill>
            </a:rPr>
            <a:t>This funding formula template Excel sheet was </a:t>
          </a:r>
          <a:r>
            <a:rPr lang="en-US" sz="1600" baseline="0"/>
            <a:t>developed as part of a project funded by CDC's Office of Rural Health and the Federal Office of Rural Health Policy. Additional details about the project and additional deliverables as they become available can be found here: https://www.ruralhealthresearch.org/projects/1092. </a:t>
          </a:r>
        </a:p>
        <a:p>
          <a:endParaRPr lang="en-US" sz="1600" baseline="0"/>
        </a:p>
        <a:p>
          <a:r>
            <a:rPr lang="en-US" sz="1600" u="sng" baseline="0"/>
            <a:t>Funding Statement:</a:t>
          </a:r>
        </a:p>
        <a:p>
          <a:r>
            <a:rPr lang="en-US" sz="1600">
              <a:effectLst/>
            </a:rPr>
            <a:t>This project was supported by the Health Resources and Services Administration (HRSA), U.S. Department of Health and Human Services (HHS) under the grant number U1CRH39978 Rural Health Research Grant Cooperative Agreement and the Centers for Disease Control and Prevention (CDC) Office of Rural Health. The information or content and conclusions are those of the authors and should not be construed as the official position or policy of, nor should any endorsements be inferred by HRSA, HHS, CDC, or the U.S. Government</a:t>
          </a:r>
          <a:endParaRPr lang="en-US" sz="1600" baseline="0"/>
        </a:p>
        <a:p>
          <a:endParaRPr lang="en-US" sz="1600" baseline="0"/>
        </a:p>
        <a:p>
          <a:endParaRPr lang="en-US" sz="1600" baseline="0"/>
        </a:p>
        <a:p>
          <a:endParaRPr lang="en-US" sz="1600" baseline="0"/>
        </a:p>
      </xdr:txBody>
    </xdr:sp>
    <xdr:clientData/>
  </xdr:twoCellAnchor>
  <xdr:twoCellAnchor>
    <xdr:from>
      <xdr:col>0</xdr:col>
      <xdr:colOff>142421</xdr:colOff>
      <xdr:row>27</xdr:row>
      <xdr:rowOff>160565</xdr:rowOff>
    </xdr:from>
    <xdr:to>
      <xdr:col>5</xdr:col>
      <xdr:colOff>278493</xdr:colOff>
      <xdr:row>29</xdr:row>
      <xdr:rowOff>51708</xdr:rowOff>
    </xdr:to>
    <xdr:sp macro="" textlink="">
      <xdr:nvSpPr>
        <xdr:cNvPr id="4" name="TextBox 3">
          <a:extLst>
            <a:ext uri="{FF2B5EF4-FFF2-40B4-BE49-F238E27FC236}">
              <a16:creationId xmlns:a16="http://schemas.microsoft.com/office/drawing/2014/main" id="{5820E0D2-FD1D-4F6F-A61A-530A4284AA04}"/>
            </a:ext>
          </a:extLst>
        </xdr:cNvPr>
        <xdr:cNvSpPr txBox="1"/>
      </xdr:nvSpPr>
      <xdr:spPr>
        <a:xfrm>
          <a:off x="142421" y="5443765"/>
          <a:ext cx="3628572" cy="272143"/>
        </a:xfrm>
        <a:prstGeom prst="rect">
          <a:avLst/>
        </a:prstGeom>
        <a:solidFill>
          <a:schemeClr val="bg2">
            <a:lumMod val="7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Example Data Structure:</a:t>
          </a:r>
        </a:p>
      </xdr:txBody>
    </xdr:sp>
    <xdr:clientData/>
  </xdr:twoCellAnchor>
  <xdr:twoCellAnchor editAs="oneCell">
    <xdr:from>
      <xdr:col>0</xdr:col>
      <xdr:colOff>143328</xdr:colOff>
      <xdr:row>29</xdr:row>
      <xdr:rowOff>152401</xdr:rowOff>
    </xdr:from>
    <xdr:to>
      <xdr:col>12</xdr:col>
      <xdr:colOff>484713</xdr:colOff>
      <xdr:row>37</xdr:row>
      <xdr:rowOff>0</xdr:rowOff>
    </xdr:to>
    <xdr:pic>
      <xdr:nvPicPr>
        <xdr:cNvPr id="6" name="Picture 5">
          <a:extLst>
            <a:ext uri="{FF2B5EF4-FFF2-40B4-BE49-F238E27FC236}">
              <a16:creationId xmlns:a16="http://schemas.microsoft.com/office/drawing/2014/main" id="{D410E2B4-98FE-4D24-91AF-503BD5BB790D}"/>
            </a:ext>
          </a:extLst>
        </xdr:cNvPr>
        <xdr:cNvPicPr>
          <a:picLocks noChangeAspect="1"/>
        </xdr:cNvPicPr>
      </xdr:nvPicPr>
      <xdr:blipFill>
        <a:blip xmlns:r="http://schemas.openxmlformats.org/officeDocument/2006/relationships" r:embed="rId1"/>
        <a:stretch>
          <a:fillRect/>
        </a:stretch>
      </xdr:blipFill>
      <xdr:spPr>
        <a:xfrm>
          <a:off x="143328" y="5816601"/>
          <a:ext cx="8723385" cy="1371599"/>
        </a:xfrm>
        <a:prstGeom prst="rect">
          <a:avLst/>
        </a:prstGeom>
        <a:ln>
          <a:solidFill>
            <a:sysClr val="windowText" lastClr="000000"/>
          </a:solidFill>
        </a:ln>
      </xdr:spPr>
    </xdr:pic>
    <xdr:clientData/>
  </xdr:twoCellAnchor>
  <xdr:twoCellAnchor editAs="oneCell">
    <xdr:from>
      <xdr:col>0</xdr:col>
      <xdr:colOff>126998</xdr:colOff>
      <xdr:row>39</xdr:row>
      <xdr:rowOff>44449</xdr:rowOff>
    </xdr:from>
    <xdr:to>
      <xdr:col>14</xdr:col>
      <xdr:colOff>399142</xdr:colOff>
      <xdr:row>58</xdr:row>
      <xdr:rowOff>38100</xdr:rowOff>
    </xdr:to>
    <xdr:pic>
      <xdr:nvPicPr>
        <xdr:cNvPr id="8" name="Picture 7">
          <a:extLst>
            <a:ext uri="{FF2B5EF4-FFF2-40B4-BE49-F238E27FC236}">
              <a16:creationId xmlns:a16="http://schemas.microsoft.com/office/drawing/2014/main" id="{7794CE8D-AEDE-472B-9B37-57680CD1F5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6998" y="7613649"/>
          <a:ext cx="10051144" cy="36131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154215</xdr:colOff>
      <xdr:row>37</xdr:row>
      <xdr:rowOff>72571</xdr:rowOff>
    </xdr:from>
    <xdr:to>
      <xdr:col>5</xdr:col>
      <xdr:colOff>290287</xdr:colOff>
      <xdr:row>38</xdr:row>
      <xdr:rowOff>154214</xdr:rowOff>
    </xdr:to>
    <xdr:sp macro="" textlink="">
      <xdr:nvSpPr>
        <xdr:cNvPr id="9" name="TextBox 8">
          <a:extLst>
            <a:ext uri="{FF2B5EF4-FFF2-40B4-BE49-F238E27FC236}">
              <a16:creationId xmlns:a16="http://schemas.microsoft.com/office/drawing/2014/main" id="{4CAD98B7-5726-4CB7-AFEA-0B1BE7CC7744}"/>
            </a:ext>
          </a:extLst>
        </xdr:cNvPr>
        <xdr:cNvSpPr txBox="1"/>
      </xdr:nvSpPr>
      <xdr:spPr>
        <a:xfrm>
          <a:off x="154215" y="7260771"/>
          <a:ext cx="3628572" cy="272143"/>
        </a:xfrm>
        <a:prstGeom prst="rect">
          <a:avLst/>
        </a:prstGeom>
        <a:solidFill>
          <a:schemeClr val="bg2">
            <a:lumMod val="7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Formula</a:t>
          </a:r>
          <a:r>
            <a:rPr lang="en-US" sz="1600" baseline="0"/>
            <a:t> Names and Components</a:t>
          </a:r>
          <a:endParaRPr lang="en-US" sz="1600"/>
        </a:p>
      </xdr:txBody>
    </xdr:sp>
    <xdr:clientData/>
  </xdr:twoCellAnchor>
  <xdr:twoCellAnchor editAs="oneCell">
    <xdr:from>
      <xdr:col>10</xdr:col>
      <xdr:colOff>228755</xdr:colOff>
      <xdr:row>1</xdr:row>
      <xdr:rowOff>12313</xdr:rowOff>
    </xdr:from>
    <xdr:to>
      <xdr:col>12</xdr:col>
      <xdr:colOff>482601</xdr:colOff>
      <xdr:row>6</xdr:row>
      <xdr:rowOff>16506</xdr:rowOff>
    </xdr:to>
    <xdr:pic>
      <xdr:nvPicPr>
        <xdr:cNvPr id="3" name="Picture 2">
          <a:extLst>
            <a:ext uri="{FF2B5EF4-FFF2-40B4-BE49-F238E27FC236}">
              <a16:creationId xmlns:a16="http://schemas.microsoft.com/office/drawing/2014/main" id="{2625DA2A-1556-476C-8B63-3F8D760FEA8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13755" y="202813"/>
          <a:ext cx="1650846" cy="1096393"/>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313532</xdr:colOff>
      <xdr:row>0</xdr:row>
      <xdr:rowOff>169863</xdr:rowOff>
    </xdr:from>
    <xdr:to>
      <xdr:col>13</xdr:col>
      <xdr:colOff>17463</xdr:colOff>
      <xdr:row>5</xdr:row>
      <xdr:rowOff>134938</xdr:rowOff>
    </xdr:to>
    <xdr:sp macro="" textlink="">
      <xdr:nvSpPr>
        <xdr:cNvPr id="2" name="TextBox 1">
          <a:extLst>
            <a:ext uri="{FF2B5EF4-FFF2-40B4-BE49-F238E27FC236}">
              <a16:creationId xmlns:a16="http://schemas.microsoft.com/office/drawing/2014/main" id="{94FF60FD-1B77-47B2-8568-33478372E4E1}"/>
            </a:ext>
          </a:extLst>
        </xdr:cNvPr>
        <xdr:cNvSpPr txBox="1"/>
      </xdr:nvSpPr>
      <xdr:spPr>
        <a:xfrm>
          <a:off x="6719095" y="169863"/>
          <a:ext cx="2132806" cy="1131888"/>
        </a:xfrm>
        <a:prstGeom prst="rect">
          <a:avLst/>
        </a:prstGeom>
        <a:solidFill>
          <a:schemeClr val="bg1">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a:t>
          </a:r>
          <a:r>
            <a:rPr lang="en-US" sz="1100" baseline="0"/>
            <a:t> Ensure that you are entering the full name of the county. For example, "Apple County" or "Banana Parish"</a:t>
          </a:r>
          <a:endParaRPr lang="en-US" sz="1100"/>
        </a:p>
      </xdr:txBody>
    </xdr:sp>
    <xdr:clientData/>
  </xdr:twoCellAnchor>
  <xdr:twoCellAnchor>
    <xdr:from>
      <xdr:col>9</xdr:col>
      <xdr:colOff>309562</xdr:colOff>
      <xdr:row>7</xdr:row>
      <xdr:rowOff>59531</xdr:rowOff>
    </xdr:from>
    <xdr:to>
      <xdr:col>13</xdr:col>
      <xdr:colOff>13493</xdr:colOff>
      <xdr:row>16</xdr:row>
      <xdr:rowOff>47625</xdr:rowOff>
    </xdr:to>
    <xdr:sp macro="" textlink="">
      <xdr:nvSpPr>
        <xdr:cNvPr id="3" name="TextBox 2">
          <a:extLst>
            <a:ext uri="{FF2B5EF4-FFF2-40B4-BE49-F238E27FC236}">
              <a16:creationId xmlns:a16="http://schemas.microsoft.com/office/drawing/2014/main" id="{2DA9DAD0-4B4B-4CB8-B166-E85C2A48C9DD}"/>
            </a:ext>
          </a:extLst>
        </xdr:cNvPr>
        <xdr:cNvSpPr txBox="1"/>
      </xdr:nvSpPr>
      <xdr:spPr>
        <a:xfrm>
          <a:off x="7012781" y="1631156"/>
          <a:ext cx="2132806" cy="1702594"/>
        </a:xfrm>
        <a:prstGeom prst="rect">
          <a:avLst/>
        </a:prstGeom>
        <a:solidFill>
          <a:schemeClr val="bg1">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 The measure of need can change</a:t>
          </a:r>
          <a:r>
            <a:rPr lang="en-US" sz="1100" baseline="0"/>
            <a:t> depending on the needs of the state. It does, however, need to be a continuous measure. It also needs to be a count of the total county population, not a subset (i.e., count of population under 18, NOT population under 18 receiving SNAP benefits)</a:t>
          </a:r>
          <a:endParaRPr lang="en-US" sz="1100"/>
        </a:p>
      </xdr:txBody>
    </xdr:sp>
    <xdr:clientData/>
  </xdr:twoCellAnchor>
  <xdr:twoCellAnchor>
    <xdr:from>
      <xdr:col>9</xdr:col>
      <xdr:colOff>321468</xdr:colOff>
      <xdr:row>18</xdr:row>
      <xdr:rowOff>107156</xdr:rowOff>
    </xdr:from>
    <xdr:to>
      <xdr:col>13</xdr:col>
      <xdr:colOff>25399</xdr:colOff>
      <xdr:row>24</xdr:row>
      <xdr:rowOff>119856</xdr:rowOff>
    </xdr:to>
    <xdr:sp macro="" textlink="">
      <xdr:nvSpPr>
        <xdr:cNvPr id="4" name="TextBox 3">
          <a:extLst>
            <a:ext uri="{FF2B5EF4-FFF2-40B4-BE49-F238E27FC236}">
              <a16:creationId xmlns:a16="http://schemas.microsoft.com/office/drawing/2014/main" id="{7298B5DD-30E2-447A-8A48-CB4759224396}"/>
            </a:ext>
          </a:extLst>
        </xdr:cNvPr>
        <xdr:cNvSpPr txBox="1"/>
      </xdr:nvSpPr>
      <xdr:spPr>
        <a:xfrm>
          <a:off x="7024687" y="3774281"/>
          <a:ext cx="2132806" cy="1155700"/>
        </a:xfrm>
        <a:prstGeom prst="rect">
          <a:avLst/>
        </a:prstGeom>
        <a:solidFill>
          <a:schemeClr val="bg1">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a:t>
          </a:r>
          <a:r>
            <a:rPr lang="en-US" sz="1100" baseline="0"/>
            <a:t> The SVI measure can also be changed to another continuous index measure, see (insert link to milbank brief here) for more information regarding indicies and considerations for selection.</a:t>
          </a:r>
          <a:endParaRPr lang="en-US" sz="1100"/>
        </a:p>
      </xdr:txBody>
    </xdr:sp>
    <xdr:clientData/>
  </xdr:twoCellAnchor>
  <xdr:twoCellAnchor>
    <xdr:from>
      <xdr:col>15</xdr:col>
      <xdr:colOff>2035970</xdr:colOff>
      <xdr:row>1</xdr:row>
      <xdr:rowOff>160735</xdr:rowOff>
    </xdr:from>
    <xdr:to>
      <xdr:col>17</xdr:col>
      <xdr:colOff>178593</xdr:colOff>
      <xdr:row>3</xdr:row>
      <xdr:rowOff>95249</xdr:rowOff>
    </xdr:to>
    <xdr:cxnSp macro="">
      <xdr:nvCxnSpPr>
        <xdr:cNvPr id="6" name="Straight Arrow Connector 5">
          <a:extLst>
            <a:ext uri="{FF2B5EF4-FFF2-40B4-BE49-F238E27FC236}">
              <a16:creationId xmlns:a16="http://schemas.microsoft.com/office/drawing/2014/main" id="{D719DA03-5C65-4532-9FB5-EC5542E53663}"/>
            </a:ext>
          </a:extLst>
        </xdr:cNvPr>
        <xdr:cNvCxnSpPr>
          <a:stCxn id="7" idx="1"/>
        </xdr:cNvCxnSpPr>
      </xdr:nvCxnSpPr>
      <xdr:spPr>
        <a:xfrm flipH="1">
          <a:off x="13739814" y="589360"/>
          <a:ext cx="797717" cy="3393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178593</xdr:colOff>
      <xdr:row>0</xdr:row>
      <xdr:rowOff>273844</xdr:rowOff>
    </xdr:from>
    <xdr:to>
      <xdr:col>20</xdr:col>
      <xdr:colOff>309562</xdr:colOff>
      <xdr:row>3</xdr:row>
      <xdr:rowOff>71437</xdr:rowOff>
    </xdr:to>
    <xdr:sp macro="" textlink="">
      <xdr:nvSpPr>
        <xdr:cNvPr id="7" name="TextBox 6">
          <a:extLst>
            <a:ext uri="{FF2B5EF4-FFF2-40B4-BE49-F238E27FC236}">
              <a16:creationId xmlns:a16="http://schemas.microsoft.com/office/drawing/2014/main" id="{0630F0F6-C267-472E-BCD2-D4B2FD39A13E}"/>
            </a:ext>
          </a:extLst>
        </xdr:cNvPr>
        <xdr:cNvSpPr txBox="1"/>
      </xdr:nvSpPr>
      <xdr:spPr>
        <a:xfrm>
          <a:off x="14537531" y="273844"/>
          <a:ext cx="3107531" cy="631031"/>
        </a:xfrm>
        <a:prstGeom prst="rect">
          <a:avLst/>
        </a:prstGeom>
        <a:solidFill>
          <a:schemeClr val="bg1">
            <a:lumMod val="7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Insert the total amuount</a:t>
          </a:r>
          <a:r>
            <a:rPr lang="en-US" sz="1100" baseline="0"/>
            <a:t> of funding for the funding mechanism here (no commas)</a:t>
          </a:r>
          <a:endParaRPr lang="en-US"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6172-2A22-47FD-839E-B232E7138FB6}">
  <dimension ref="K2:AJ2"/>
  <sheetViews>
    <sheetView tabSelected="1" zoomScaleNormal="100" workbookViewId="0">
      <selection activeCell="R40" sqref="R40"/>
    </sheetView>
  </sheetViews>
  <sheetFormatPr baseColWidth="10" defaultColWidth="9.1640625" defaultRowHeight="15" x14ac:dyDescent="0.2"/>
  <cols>
    <col min="1" max="30" width="9.1640625" style="1"/>
    <col min="31" max="36" width="8.6640625" style="4"/>
    <col min="37" max="64" width="8.6640625" style="1"/>
    <col min="65" max="16384" width="9.1640625" style="1"/>
  </cols>
  <sheetData>
    <row r="2" spans="11:11" ht="26" x14ac:dyDescent="0.3">
      <c r="K2" s="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7DB07-6B2F-452B-8F41-F4C216B4AF00}">
  <dimension ref="A1:T300"/>
  <sheetViews>
    <sheetView zoomScale="80" zoomScaleNormal="80" workbookViewId="0">
      <selection activeCell="P24" sqref="P24"/>
    </sheetView>
  </sheetViews>
  <sheetFormatPr baseColWidth="10" defaultColWidth="9.1640625" defaultRowHeight="15" x14ac:dyDescent="0.2"/>
  <cols>
    <col min="1" max="1" width="20.5" style="1" customWidth="1"/>
    <col min="2" max="2" width="16.5" style="1" customWidth="1"/>
    <col min="3" max="3" width="13.33203125" style="1" customWidth="1"/>
    <col min="4" max="4" width="12.5" style="1" customWidth="1"/>
    <col min="5" max="5" width="9.1640625" style="1"/>
    <col min="6" max="6" width="15.6640625" style="1" customWidth="1"/>
    <col min="7" max="7" width="9.1640625" style="1"/>
    <col min="8" max="8" width="15.33203125" style="1" customWidth="1"/>
    <col min="9" max="15" width="9.1640625" style="1"/>
    <col min="16" max="16" width="30.6640625" style="1" customWidth="1"/>
    <col min="17" max="18" width="9.1640625" style="1"/>
    <col min="19" max="19" width="26.5" style="1" customWidth="1"/>
    <col min="20" max="16384" width="9.1640625" style="1"/>
  </cols>
  <sheetData>
    <row r="1" spans="1:20" ht="34" x14ac:dyDescent="0.2">
      <c r="A1" s="21" t="s">
        <v>31</v>
      </c>
      <c r="B1" s="21" t="s">
        <v>36</v>
      </c>
      <c r="C1" s="21" t="s">
        <v>0</v>
      </c>
      <c r="D1" s="21" t="s">
        <v>1</v>
      </c>
      <c r="E1" s="21" t="s">
        <v>2</v>
      </c>
      <c r="F1" s="21" t="s">
        <v>32</v>
      </c>
      <c r="G1" s="21" t="s">
        <v>35</v>
      </c>
      <c r="H1" s="21" t="s">
        <v>33</v>
      </c>
    </row>
    <row r="2" spans="1:20" ht="16" thickBot="1" x14ac:dyDescent="0.25">
      <c r="A2" s="5"/>
      <c r="B2" s="5"/>
      <c r="C2" s="30"/>
      <c r="D2" s="30"/>
      <c r="E2" s="30"/>
      <c r="F2" s="30"/>
      <c r="G2" s="30"/>
      <c r="H2" s="5"/>
      <c r="P2" s="39"/>
    </row>
    <row r="3" spans="1:20" ht="17" thickTop="1" thickBot="1" x14ac:dyDescent="0.25">
      <c r="A3" s="5"/>
      <c r="B3" s="5"/>
      <c r="C3" s="30"/>
      <c r="D3" s="30"/>
      <c r="E3" s="30"/>
      <c r="F3" s="30"/>
      <c r="G3" s="30"/>
      <c r="H3" s="5"/>
      <c r="P3" s="42" t="s">
        <v>37</v>
      </c>
    </row>
    <row r="4" spans="1:20" ht="17" thickTop="1" thickBot="1" x14ac:dyDescent="0.25">
      <c r="A4" s="5"/>
      <c r="B4" s="5"/>
      <c r="C4" s="30"/>
      <c r="D4" s="30"/>
      <c r="E4" s="30"/>
      <c r="F4" s="30"/>
      <c r="G4" s="30"/>
      <c r="H4" s="5"/>
      <c r="O4" s="40"/>
      <c r="P4" s="44">
        <v>10000000</v>
      </c>
    </row>
    <row r="5" spans="1:20" ht="16" thickTop="1" x14ac:dyDescent="0.2">
      <c r="A5" s="5"/>
      <c r="B5" s="5"/>
      <c r="C5" s="30"/>
      <c r="D5" s="30"/>
      <c r="E5" s="30"/>
      <c r="F5" s="30"/>
      <c r="G5" s="30"/>
      <c r="H5" s="5"/>
    </row>
    <row r="6" spans="1:20" ht="16" thickBot="1" x14ac:dyDescent="0.25">
      <c r="A6" s="5"/>
      <c r="B6" s="5"/>
      <c r="C6" s="30"/>
      <c r="D6" s="30"/>
      <c r="E6" s="30"/>
      <c r="F6" s="30"/>
      <c r="G6" s="30"/>
      <c r="H6" s="5"/>
      <c r="P6" s="39"/>
    </row>
    <row r="7" spans="1:20" ht="17" thickTop="1" thickBot="1" x14ac:dyDescent="0.25">
      <c r="A7" s="5"/>
      <c r="B7" s="5"/>
      <c r="C7" s="30"/>
      <c r="D7" s="30"/>
      <c r="E7" s="30"/>
      <c r="F7" s="30"/>
      <c r="G7" s="30"/>
      <c r="H7" s="5"/>
      <c r="O7" s="40"/>
      <c r="P7" s="41" t="s">
        <v>38</v>
      </c>
    </row>
    <row r="8" spans="1:20" ht="17" thickTop="1" thickBot="1" x14ac:dyDescent="0.25">
      <c r="A8" s="5"/>
      <c r="B8" s="5"/>
      <c r="C8" s="30"/>
      <c r="D8" s="30"/>
      <c r="E8" s="30"/>
      <c r="F8" s="30"/>
      <c r="G8" s="30"/>
      <c r="H8" s="5"/>
      <c r="P8" s="43">
        <f>COUNTA(A2:A300)</f>
        <v>0</v>
      </c>
    </row>
    <row r="9" spans="1:20" ht="17" thickTop="1" thickBot="1" x14ac:dyDescent="0.25">
      <c r="A9" s="5"/>
      <c r="B9" s="5"/>
      <c r="C9" s="30"/>
      <c r="D9" s="30"/>
      <c r="E9" s="30"/>
      <c r="F9" s="30"/>
      <c r="G9" s="30"/>
      <c r="H9" s="5"/>
    </row>
    <row r="10" spans="1:20" ht="18" thickTop="1" thickBot="1" x14ac:dyDescent="0.25">
      <c r="A10" s="5"/>
      <c r="B10" s="5"/>
      <c r="C10" s="30"/>
      <c r="D10" s="30"/>
      <c r="E10" s="30"/>
      <c r="F10" s="30"/>
      <c r="G10" s="30"/>
      <c r="H10" s="5"/>
      <c r="P10" s="39"/>
      <c r="S10" s="45" t="s">
        <v>39</v>
      </c>
      <c r="T10" s="45" t="s">
        <v>40</v>
      </c>
    </row>
    <row r="11" spans="1:20" ht="17" thickTop="1" thickBot="1" x14ac:dyDescent="0.25">
      <c r="A11" s="5"/>
      <c r="B11" s="5"/>
      <c r="C11" s="30"/>
      <c r="D11" s="30"/>
      <c r="E11" s="30"/>
      <c r="F11" s="30"/>
      <c r="G11" s="30"/>
      <c r="H11" s="5"/>
      <c r="O11" s="40"/>
      <c r="P11" s="41" t="s">
        <v>50</v>
      </c>
      <c r="S11" s="46" t="s">
        <v>41</v>
      </c>
      <c r="T11" s="46" t="e">
        <f>(0.5*P4)/P8</f>
        <v>#DIV/0!</v>
      </c>
    </row>
    <row r="12" spans="1:20" ht="17" thickTop="1" thickBot="1" x14ac:dyDescent="0.25">
      <c r="A12" s="5"/>
      <c r="B12" s="5"/>
      <c r="C12" s="30"/>
      <c r="D12" s="30"/>
      <c r="E12" s="30"/>
      <c r="F12" s="30"/>
      <c r="G12" s="30"/>
      <c r="H12" s="5"/>
      <c r="O12" s="40"/>
      <c r="P12" s="47" t="e">
        <f>P4*'Formula Calculations (LOCKED)'!S2</f>
        <v>#DIV/0!</v>
      </c>
      <c r="S12" s="46" t="s">
        <v>42</v>
      </c>
      <c r="T12" s="46" t="e">
        <f>(0.3333333333333*P4)/P8</f>
        <v>#DIV/0!</v>
      </c>
    </row>
    <row r="13" spans="1:20" ht="17" thickTop="1" thickBot="1" x14ac:dyDescent="0.25">
      <c r="A13" s="5"/>
      <c r="B13" s="5"/>
      <c r="C13" s="30"/>
      <c r="D13" s="30"/>
      <c r="E13" s="30"/>
      <c r="F13" s="30"/>
      <c r="G13" s="30"/>
      <c r="H13" s="5"/>
      <c r="S13" s="46" t="s">
        <v>43</v>
      </c>
      <c r="T13" s="46" t="e">
        <f>0.25*P4/P8</f>
        <v>#DIV/0!</v>
      </c>
    </row>
    <row r="14" spans="1:20" ht="16" thickTop="1" x14ac:dyDescent="0.2">
      <c r="A14" s="5"/>
      <c r="B14" s="5"/>
      <c r="C14" s="30"/>
      <c r="D14" s="30"/>
      <c r="E14" s="30"/>
      <c r="F14" s="30"/>
      <c r="G14" s="30"/>
      <c r="H14" s="5"/>
    </row>
    <row r="15" spans="1:20" x14ac:dyDescent="0.2">
      <c r="A15" s="5"/>
      <c r="B15" s="5"/>
      <c r="C15" s="30"/>
      <c r="D15" s="30"/>
      <c r="E15" s="30"/>
      <c r="F15" s="30"/>
      <c r="G15" s="30"/>
      <c r="H15" s="5"/>
    </row>
    <row r="16" spans="1:20" x14ac:dyDescent="0.2">
      <c r="A16" s="5"/>
      <c r="B16" s="5"/>
      <c r="C16" s="30"/>
      <c r="D16" s="30"/>
      <c r="E16" s="30"/>
      <c r="F16" s="30"/>
      <c r="G16" s="30"/>
      <c r="H16" s="5"/>
    </row>
    <row r="17" spans="1:16" x14ac:dyDescent="0.2">
      <c r="A17" s="5"/>
      <c r="B17" s="5"/>
      <c r="C17" s="30"/>
      <c r="D17" s="30"/>
      <c r="E17" s="30"/>
      <c r="F17" s="30"/>
      <c r="G17" s="30"/>
      <c r="H17" s="5"/>
    </row>
    <row r="18" spans="1:16" x14ac:dyDescent="0.2">
      <c r="A18" s="5"/>
      <c r="B18" s="5"/>
      <c r="C18" s="30"/>
      <c r="D18" s="30"/>
      <c r="E18" s="30"/>
      <c r="F18" s="30"/>
      <c r="G18" s="30"/>
      <c r="H18" s="5"/>
    </row>
    <row r="19" spans="1:16" x14ac:dyDescent="0.2">
      <c r="A19" s="5"/>
      <c r="B19" s="5"/>
      <c r="C19" s="30"/>
      <c r="D19" s="30"/>
      <c r="E19" s="30"/>
      <c r="F19" s="30"/>
      <c r="G19" s="30"/>
      <c r="H19" s="5"/>
    </row>
    <row r="20" spans="1:16" x14ac:dyDescent="0.2">
      <c r="A20" s="5"/>
      <c r="B20" s="5"/>
      <c r="C20" s="30"/>
      <c r="D20" s="30"/>
      <c r="E20" s="30"/>
      <c r="F20" s="30"/>
      <c r="G20" s="30"/>
      <c r="H20" s="5"/>
      <c r="P20" s="50"/>
    </row>
    <row r="21" spans="1:16" x14ac:dyDescent="0.2">
      <c r="A21" s="5"/>
      <c r="B21" s="5"/>
      <c r="C21" s="30"/>
      <c r="D21" s="30"/>
      <c r="E21" s="30"/>
      <c r="F21" s="30"/>
      <c r="G21" s="30"/>
      <c r="H21" s="5"/>
    </row>
    <row r="22" spans="1:16" x14ac:dyDescent="0.2">
      <c r="A22" s="5"/>
      <c r="B22" s="5"/>
      <c r="C22" s="30"/>
      <c r="D22" s="30"/>
      <c r="E22" s="30"/>
      <c r="F22" s="30"/>
      <c r="G22" s="30"/>
      <c r="H22" s="5"/>
    </row>
    <row r="23" spans="1:16" x14ac:dyDescent="0.2">
      <c r="A23" s="5"/>
      <c r="B23" s="5"/>
      <c r="C23" s="30"/>
      <c r="D23" s="30"/>
      <c r="E23" s="30"/>
      <c r="F23" s="30"/>
      <c r="G23" s="30"/>
      <c r="H23" s="5"/>
    </row>
    <row r="24" spans="1:16" x14ac:dyDescent="0.2">
      <c r="A24" s="5"/>
      <c r="B24" s="5"/>
      <c r="C24" s="30"/>
      <c r="D24" s="30"/>
      <c r="E24" s="30"/>
      <c r="F24" s="30"/>
      <c r="G24" s="30"/>
      <c r="H24" s="5"/>
    </row>
    <row r="25" spans="1:16" x14ac:dyDescent="0.2">
      <c r="A25" s="5"/>
      <c r="B25" s="5"/>
      <c r="C25" s="30"/>
      <c r="D25" s="30"/>
      <c r="E25" s="30"/>
      <c r="F25" s="30"/>
      <c r="G25" s="30"/>
      <c r="H25" s="5"/>
    </row>
    <row r="26" spans="1:16" x14ac:dyDescent="0.2">
      <c r="A26" s="5"/>
      <c r="B26" s="5"/>
      <c r="C26" s="30"/>
      <c r="D26" s="30"/>
      <c r="E26" s="30"/>
      <c r="F26" s="30"/>
      <c r="G26" s="30"/>
      <c r="H26" s="5"/>
    </row>
    <row r="27" spans="1:16" x14ac:dyDescent="0.2">
      <c r="A27" s="5"/>
      <c r="B27" s="5"/>
      <c r="C27" s="30"/>
      <c r="D27" s="30"/>
      <c r="E27" s="30"/>
      <c r="F27" s="30"/>
      <c r="G27" s="30"/>
      <c r="H27" s="5"/>
    </row>
    <row r="28" spans="1:16" x14ac:dyDescent="0.2">
      <c r="A28" s="5"/>
      <c r="B28" s="5"/>
      <c r="C28" s="30"/>
      <c r="D28" s="30"/>
      <c r="E28" s="30"/>
      <c r="F28" s="30"/>
      <c r="G28" s="30"/>
      <c r="H28" s="5"/>
    </row>
    <row r="29" spans="1:16" x14ac:dyDescent="0.2">
      <c r="A29" s="5"/>
      <c r="B29" s="5"/>
      <c r="C29" s="30"/>
      <c r="D29" s="30"/>
      <c r="E29" s="30"/>
      <c r="F29" s="30"/>
      <c r="G29" s="30"/>
      <c r="H29" s="5"/>
    </row>
    <row r="30" spans="1:16" x14ac:dyDescent="0.2">
      <c r="A30" s="5"/>
      <c r="B30" s="5"/>
      <c r="C30" s="30"/>
      <c r="D30" s="30"/>
      <c r="E30" s="30"/>
      <c r="F30" s="30"/>
      <c r="G30" s="30"/>
      <c r="H30" s="5"/>
    </row>
    <row r="31" spans="1:16" x14ac:dyDescent="0.2">
      <c r="A31" s="5"/>
      <c r="B31" s="5"/>
      <c r="C31" s="30"/>
      <c r="D31" s="30"/>
      <c r="E31" s="30"/>
      <c r="F31" s="30"/>
      <c r="G31" s="30"/>
      <c r="H31" s="5"/>
    </row>
    <row r="32" spans="1:16" x14ac:dyDescent="0.2">
      <c r="A32" s="5"/>
      <c r="B32" s="5"/>
      <c r="C32" s="30"/>
      <c r="D32" s="30"/>
      <c r="E32" s="30"/>
      <c r="F32" s="30"/>
      <c r="G32" s="30"/>
      <c r="H32" s="5"/>
    </row>
    <row r="33" spans="1:8" x14ac:dyDescent="0.2">
      <c r="A33" s="5"/>
      <c r="B33" s="5"/>
      <c r="C33" s="30"/>
      <c r="D33" s="30"/>
      <c r="E33" s="30"/>
      <c r="F33" s="30"/>
      <c r="G33" s="30"/>
      <c r="H33" s="5"/>
    </row>
    <row r="34" spans="1:8" x14ac:dyDescent="0.2">
      <c r="A34" s="5"/>
      <c r="B34" s="5"/>
      <c r="C34" s="30"/>
      <c r="D34" s="30"/>
      <c r="E34" s="30"/>
      <c r="F34" s="30"/>
      <c r="G34" s="30"/>
      <c r="H34" s="5"/>
    </row>
    <row r="35" spans="1:8" x14ac:dyDescent="0.2">
      <c r="A35" s="5"/>
      <c r="B35" s="5"/>
      <c r="C35" s="30"/>
      <c r="D35" s="30"/>
      <c r="E35" s="30"/>
      <c r="F35" s="30"/>
      <c r="G35" s="30"/>
      <c r="H35" s="5"/>
    </row>
    <row r="36" spans="1:8" x14ac:dyDescent="0.2">
      <c r="A36" s="5"/>
      <c r="B36" s="5"/>
      <c r="C36" s="30"/>
      <c r="D36" s="30"/>
      <c r="E36" s="30"/>
      <c r="F36" s="30"/>
      <c r="G36" s="30"/>
      <c r="H36" s="5"/>
    </row>
    <row r="37" spans="1:8" x14ac:dyDescent="0.2">
      <c r="A37" s="5"/>
      <c r="B37" s="5"/>
      <c r="C37" s="30"/>
      <c r="D37" s="30"/>
      <c r="E37" s="30"/>
      <c r="F37" s="30"/>
      <c r="G37" s="30"/>
      <c r="H37" s="5"/>
    </row>
    <row r="38" spans="1:8" x14ac:dyDescent="0.2">
      <c r="A38" s="5"/>
      <c r="B38" s="5"/>
      <c r="C38" s="30"/>
      <c r="D38" s="30"/>
      <c r="E38" s="30"/>
      <c r="F38" s="30"/>
      <c r="G38" s="30"/>
      <c r="H38" s="5"/>
    </row>
    <row r="39" spans="1:8" x14ac:dyDescent="0.2">
      <c r="A39" s="5"/>
      <c r="B39" s="5"/>
      <c r="C39" s="30"/>
      <c r="D39" s="30"/>
      <c r="E39" s="30"/>
      <c r="F39" s="30"/>
      <c r="G39" s="30"/>
      <c r="H39" s="5"/>
    </row>
    <row r="40" spans="1:8" x14ac:dyDescent="0.2">
      <c r="A40" s="5"/>
      <c r="B40" s="5"/>
      <c r="C40" s="30"/>
      <c r="D40" s="30"/>
      <c r="E40" s="30"/>
      <c r="F40" s="30"/>
      <c r="G40" s="30"/>
      <c r="H40" s="5"/>
    </row>
    <row r="41" spans="1:8" x14ac:dyDescent="0.2">
      <c r="A41" s="5"/>
      <c r="B41" s="5"/>
      <c r="C41" s="30"/>
      <c r="D41" s="30"/>
      <c r="E41" s="30"/>
      <c r="F41" s="30"/>
      <c r="G41" s="30"/>
      <c r="H41" s="5"/>
    </row>
    <row r="42" spans="1:8" x14ac:dyDescent="0.2">
      <c r="A42" s="5"/>
      <c r="B42" s="5"/>
      <c r="C42" s="30"/>
      <c r="D42" s="30"/>
      <c r="E42" s="30"/>
      <c r="F42" s="30"/>
      <c r="G42" s="30"/>
      <c r="H42" s="5"/>
    </row>
    <row r="43" spans="1:8" x14ac:dyDescent="0.2">
      <c r="A43" s="5"/>
      <c r="B43" s="5"/>
      <c r="C43" s="30"/>
      <c r="D43" s="30"/>
      <c r="E43" s="30"/>
      <c r="F43" s="30"/>
      <c r="G43" s="30"/>
      <c r="H43" s="5"/>
    </row>
    <row r="44" spans="1:8" x14ac:dyDescent="0.2">
      <c r="A44" s="5"/>
      <c r="B44" s="5"/>
      <c r="C44" s="30"/>
      <c r="D44" s="30"/>
      <c r="E44" s="30"/>
      <c r="F44" s="30"/>
      <c r="G44" s="30"/>
      <c r="H44" s="5"/>
    </row>
    <row r="45" spans="1:8" x14ac:dyDescent="0.2">
      <c r="A45" s="5"/>
      <c r="B45" s="5"/>
      <c r="C45" s="30"/>
      <c r="D45" s="30"/>
      <c r="E45" s="30"/>
      <c r="F45" s="30"/>
      <c r="G45" s="30"/>
      <c r="H45" s="5"/>
    </row>
    <row r="46" spans="1:8" x14ac:dyDescent="0.2">
      <c r="A46" s="5"/>
      <c r="B46" s="5"/>
      <c r="C46" s="30"/>
      <c r="D46" s="30"/>
      <c r="E46" s="30"/>
      <c r="F46" s="30"/>
      <c r="G46" s="30"/>
      <c r="H46" s="5"/>
    </row>
    <row r="47" spans="1:8" x14ac:dyDescent="0.2">
      <c r="A47" s="5"/>
      <c r="B47" s="5"/>
      <c r="C47" s="30"/>
      <c r="D47" s="30"/>
      <c r="E47" s="30"/>
      <c r="F47" s="30"/>
      <c r="G47" s="30"/>
      <c r="H47" s="5"/>
    </row>
    <row r="48" spans="1:8" x14ac:dyDescent="0.2">
      <c r="A48" s="5"/>
      <c r="B48" s="5"/>
      <c r="C48" s="30"/>
      <c r="D48" s="30"/>
      <c r="E48" s="30"/>
      <c r="F48" s="30"/>
      <c r="G48" s="30"/>
      <c r="H48" s="5"/>
    </row>
    <row r="49" spans="1:8" x14ac:dyDescent="0.2">
      <c r="A49" s="5"/>
      <c r="B49" s="5"/>
      <c r="C49" s="30"/>
      <c r="D49" s="30"/>
      <c r="E49" s="30"/>
      <c r="F49" s="30"/>
      <c r="G49" s="30"/>
      <c r="H49" s="5"/>
    </row>
    <row r="50" spans="1:8" x14ac:dyDescent="0.2">
      <c r="A50" s="5"/>
      <c r="B50" s="5"/>
      <c r="C50" s="30"/>
      <c r="D50" s="30"/>
      <c r="E50" s="30"/>
      <c r="F50" s="30"/>
      <c r="G50" s="30"/>
      <c r="H50" s="5"/>
    </row>
    <row r="51" spans="1:8" x14ac:dyDescent="0.2">
      <c r="A51" s="5"/>
      <c r="B51" s="5"/>
      <c r="C51" s="30"/>
      <c r="D51" s="30"/>
      <c r="E51" s="30"/>
      <c r="F51" s="30"/>
      <c r="G51" s="30"/>
      <c r="H51" s="5"/>
    </row>
    <row r="52" spans="1:8" x14ac:dyDescent="0.2">
      <c r="A52" s="5"/>
      <c r="B52" s="5"/>
      <c r="C52" s="30"/>
      <c r="D52" s="30"/>
      <c r="E52" s="30"/>
      <c r="F52" s="30"/>
      <c r="G52" s="30"/>
      <c r="H52" s="5"/>
    </row>
    <row r="53" spans="1:8" x14ac:dyDescent="0.2">
      <c r="A53" s="5"/>
      <c r="B53" s="5"/>
      <c r="C53" s="30"/>
      <c r="D53" s="30"/>
      <c r="E53" s="30"/>
      <c r="F53" s="30"/>
      <c r="G53" s="30"/>
      <c r="H53" s="5"/>
    </row>
    <row r="54" spans="1:8" x14ac:dyDescent="0.2">
      <c r="A54" s="5"/>
      <c r="B54" s="5"/>
      <c r="C54" s="30"/>
      <c r="D54" s="30"/>
      <c r="E54" s="30"/>
      <c r="F54" s="30"/>
      <c r="G54" s="30"/>
      <c r="H54" s="5"/>
    </row>
    <row r="55" spans="1:8" x14ac:dyDescent="0.2">
      <c r="A55" s="5"/>
      <c r="B55" s="5"/>
      <c r="C55" s="30"/>
      <c r="D55" s="30"/>
      <c r="E55" s="30"/>
      <c r="F55" s="30"/>
      <c r="G55" s="30"/>
      <c r="H55" s="5"/>
    </row>
    <row r="56" spans="1:8" x14ac:dyDescent="0.2">
      <c r="A56" s="5"/>
      <c r="B56" s="5"/>
      <c r="C56" s="30"/>
      <c r="D56" s="30"/>
      <c r="E56" s="30"/>
      <c r="F56" s="30"/>
      <c r="G56" s="30"/>
      <c r="H56" s="5"/>
    </row>
    <row r="57" spans="1:8" x14ac:dyDescent="0.2">
      <c r="A57" s="5"/>
      <c r="B57" s="5"/>
      <c r="C57" s="30"/>
      <c r="D57" s="30"/>
      <c r="E57" s="30"/>
      <c r="F57" s="30"/>
      <c r="G57" s="30"/>
      <c r="H57" s="5"/>
    </row>
    <row r="58" spans="1:8" x14ac:dyDescent="0.2">
      <c r="A58" s="5"/>
      <c r="B58" s="5"/>
      <c r="C58" s="30"/>
      <c r="D58" s="30"/>
      <c r="E58" s="30"/>
      <c r="F58" s="30"/>
      <c r="G58" s="30"/>
      <c r="H58" s="5"/>
    </row>
    <row r="59" spans="1:8" x14ac:dyDescent="0.2">
      <c r="A59" s="5"/>
      <c r="B59" s="5"/>
      <c r="C59" s="30"/>
      <c r="D59" s="30"/>
      <c r="E59" s="30"/>
      <c r="F59" s="30"/>
      <c r="G59" s="30"/>
      <c r="H59" s="5"/>
    </row>
    <row r="60" spans="1:8" x14ac:dyDescent="0.2">
      <c r="A60" s="5"/>
      <c r="B60" s="5"/>
      <c r="C60" s="30"/>
      <c r="D60" s="30"/>
      <c r="E60" s="30"/>
      <c r="F60" s="30"/>
      <c r="G60" s="30"/>
      <c r="H60" s="5"/>
    </row>
    <row r="61" spans="1:8" x14ac:dyDescent="0.2">
      <c r="A61" s="5"/>
      <c r="B61" s="5"/>
      <c r="C61" s="30"/>
      <c r="D61" s="30"/>
      <c r="E61" s="30"/>
      <c r="F61" s="30"/>
      <c r="G61" s="30"/>
      <c r="H61" s="5"/>
    </row>
    <row r="62" spans="1:8" x14ac:dyDescent="0.2">
      <c r="A62" s="5"/>
      <c r="B62" s="5"/>
      <c r="C62" s="30"/>
      <c r="D62" s="30"/>
      <c r="E62" s="30"/>
      <c r="F62" s="30"/>
      <c r="G62" s="30"/>
      <c r="H62" s="5"/>
    </row>
    <row r="63" spans="1:8" x14ac:dyDescent="0.2">
      <c r="A63" s="5"/>
      <c r="B63" s="5"/>
      <c r="C63" s="30"/>
      <c r="D63" s="30"/>
      <c r="E63" s="30"/>
      <c r="F63" s="30"/>
      <c r="G63" s="30"/>
      <c r="H63" s="5"/>
    </row>
    <row r="64" spans="1:8" x14ac:dyDescent="0.2">
      <c r="A64" s="5"/>
      <c r="B64" s="5"/>
      <c r="C64" s="30"/>
      <c r="D64" s="30"/>
      <c r="E64" s="30"/>
      <c r="F64" s="30"/>
      <c r="G64" s="30"/>
      <c r="H64" s="5"/>
    </row>
    <row r="65" spans="1:8" x14ac:dyDescent="0.2">
      <c r="A65" s="5"/>
      <c r="B65" s="5"/>
      <c r="C65" s="30"/>
      <c r="D65" s="30"/>
      <c r="E65" s="30"/>
      <c r="F65" s="30"/>
      <c r="G65" s="30"/>
      <c r="H65" s="5"/>
    </row>
    <row r="66" spans="1:8" x14ac:dyDescent="0.2">
      <c r="A66" s="5"/>
      <c r="B66" s="5"/>
      <c r="C66" s="30"/>
      <c r="D66" s="30"/>
      <c r="E66" s="30"/>
      <c r="F66" s="30"/>
      <c r="G66" s="30"/>
      <c r="H66" s="5"/>
    </row>
    <row r="67" spans="1:8" x14ac:dyDescent="0.2">
      <c r="A67" s="5"/>
      <c r="B67" s="5"/>
      <c r="C67" s="30"/>
      <c r="D67" s="30"/>
      <c r="E67" s="30"/>
      <c r="F67" s="30"/>
      <c r="G67" s="30"/>
      <c r="H67" s="5"/>
    </row>
    <row r="68" spans="1:8" x14ac:dyDescent="0.2">
      <c r="A68" s="5"/>
      <c r="B68" s="5"/>
      <c r="C68" s="30"/>
      <c r="D68" s="30"/>
      <c r="E68" s="30"/>
      <c r="F68" s="30"/>
      <c r="G68" s="30"/>
      <c r="H68" s="5"/>
    </row>
    <row r="69" spans="1:8" x14ac:dyDescent="0.2">
      <c r="A69" s="5"/>
      <c r="B69" s="5"/>
      <c r="C69" s="30"/>
      <c r="D69" s="30"/>
      <c r="E69" s="30"/>
      <c r="F69" s="30"/>
      <c r="G69" s="30"/>
      <c r="H69" s="5"/>
    </row>
    <row r="70" spans="1:8" x14ac:dyDescent="0.2">
      <c r="A70" s="5"/>
      <c r="B70" s="5"/>
      <c r="C70" s="30"/>
      <c r="D70" s="30"/>
      <c r="E70" s="30"/>
      <c r="F70" s="30"/>
      <c r="G70" s="30"/>
      <c r="H70" s="5"/>
    </row>
    <row r="71" spans="1:8" x14ac:dyDescent="0.2">
      <c r="A71" s="5"/>
      <c r="B71" s="5"/>
      <c r="C71" s="30"/>
      <c r="D71" s="30"/>
      <c r="E71" s="30"/>
      <c r="F71" s="30"/>
      <c r="G71" s="30"/>
      <c r="H71" s="5"/>
    </row>
    <row r="72" spans="1:8" x14ac:dyDescent="0.2">
      <c r="A72" s="5"/>
      <c r="B72" s="5"/>
      <c r="C72" s="30"/>
      <c r="D72" s="30"/>
      <c r="E72" s="30"/>
      <c r="F72" s="30"/>
      <c r="G72" s="30"/>
      <c r="H72" s="5"/>
    </row>
    <row r="73" spans="1:8" x14ac:dyDescent="0.2">
      <c r="A73" s="5"/>
      <c r="B73" s="5"/>
      <c r="C73" s="30"/>
      <c r="D73" s="30"/>
      <c r="E73" s="30"/>
      <c r="F73" s="30"/>
      <c r="G73" s="30"/>
      <c r="H73" s="5"/>
    </row>
    <row r="74" spans="1:8" x14ac:dyDescent="0.2">
      <c r="A74" s="5"/>
      <c r="B74" s="5"/>
      <c r="C74" s="30"/>
      <c r="D74" s="30"/>
      <c r="E74" s="30"/>
      <c r="F74" s="30"/>
      <c r="G74" s="30"/>
      <c r="H74" s="5"/>
    </row>
    <row r="75" spans="1:8" x14ac:dyDescent="0.2">
      <c r="A75" s="5"/>
      <c r="B75" s="5"/>
      <c r="C75" s="30"/>
      <c r="D75" s="30"/>
      <c r="E75" s="30"/>
      <c r="F75" s="30"/>
      <c r="G75" s="30"/>
      <c r="H75" s="5"/>
    </row>
    <row r="76" spans="1:8" x14ac:dyDescent="0.2">
      <c r="A76" s="5"/>
      <c r="B76" s="5"/>
      <c r="C76" s="30"/>
      <c r="D76" s="30"/>
      <c r="E76" s="30"/>
      <c r="F76" s="30"/>
      <c r="G76" s="30"/>
      <c r="H76" s="5"/>
    </row>
    <row r="77" spans="1:8" x14ac:dyDescent="0.2">
      <c r="A77" s="5"/>
      <c r="B77" s="5"/>
      <c r="C77" s="30"/>
      <c r="D77" s="30"/>
      <c r="E77" s="30"/>
      <c r="F77" s="30"/>
      <c r="G77" s="30"/>
      <c r="H77" s="5"/>
    </row>
    <row r="78" spans="1:8" x14ac:dyDescent="0.2">
      <c r="A78" s="5"/>
      <c r="B78" s="5"/>
      <c r="C78" s="30"/>
      <c r="D78" s="30"/>
      <c r="E78" s="30"/>
      <c r="F78" s="30"/>
      <c r="G78" s="30"/>
      <c r="H78" s="5"/>
    </row>
    <row r="79" spans="1:8" x14ac:dyDescent="0.2">
      <c r="A79" s="5"/>
      <c r="B79" s="5"/>
      <c r="C79" s="30"/>
      <c r="D79" s="30"/>
      <c r="E79" s="30"/>
      <c r="F79" s="30"/>
      <c r="G79" s="30"/>
      <c r="H79" s="5"/>
    </row>
    <row r="80" spans="1:8" x14ac:dyDescent="0.2">
      <c r="A80" s="5"/>
      <c r="B80" s="5"/>
      <c r="C80" s="30"/>
      <c r="D80" s="30"/>
      <c r="E80" s="30"/>
      <c r="F80" s="30"/>
      <c r="G80" s="30"/>
      <c r="H80" s="5"/>
    </row>
    <row r="81" spans="1:8" x14ac:dyDescent="0.2">
      <c r="A81" s="5"/>
      <c r="B81" s="5"/>
      <c r="C81" s="30"/>
      <c r="D81" s="30"/>
      <c r="E81" s="30"/>
      <c r="F81" s="30"/>
      <c r="G81" s="30"/>
      <c r="H81" s="5"/>
    </row>
    <row r="82" spans="1:8" x14ac:dyDescent="0.2">
      <c r="A82" s="5"/>
      <c r="B82" s="5"/>
      <c r="C82" s="30"/>
      <c r="D82" s="30"/>
      <c r="E82" s="30"/>
      <c r="F82" s="30"/>
      <c r="G82" s="30"/>
      <c r="H82" s="5"/>
    </row>
    <row r="83" spans="1:8" x14ac:dyDescent="0.2">
      <c r="A83" s="5"/>
      <c r="B83" s="5"/>
      <c r="C83" s="30"/>
      <c r="D83" s="30"/>
      <c r="E83" s="30"/>
      <c r="F83" s="30"/>
      <c r="G83" s="30"/>
      <c r="H83" s="5"/>
    </row>
    <row r="84" spans="1:8" x14ac:dyDescent="0.2">
      <c r="A84" s="5"/>
      <c r="B84" s="5"/>
      <c r="C84" s="30"/>
      <c r="D84" s="30"/>
      <c r="E84" s="30"/>
      <c r="F84" s="30"/>
      <c r="G84" s="30"/>
      <c r="H84" s="5"/>
    </row>
    <row r="85" spans="1:8" x14ac:dyDescent="0.2">
      <c r="A85" s="5"/>
      <c r="B85" s="5"/>
      <c r="C85" s="30"/>
      <c r="D85" s="30"/>
      <c r="E85" s="30"/>
      <c r="F85" s="30"/>
      <c r="G85" s="30"/>
      <c r="H85" s="5"/>
    </row>
    <row r="86" spans="1:8" x14ac:dyDescent="0.2">
      <c r="A86" s="5"/>
      <c r="B86" s="5"/>
      <c r="C86" s="30"/>
      <c r="D86" s="30"/>
      <c r="E86" s="30"/>
      <c r="F86" s="30"/>
      <c r="G86" s="30"/>
      <c r="H86" s="5"/>
    </row>
    <row r="87" spans="1:8" x14ac:dyDescent="0.2">
      <c r="A87" s="5"/>
      <c r="B87" s="5"/>
      <c r="C87" s="30"/>
      <c r="D87" s="30"/>
      <c r="E87" s="30"/>
      <c r="F87" s="30"/>
      <c r="G87" s="30"/>
      <c r="H87" s="5"/>
    </row>
    <row r="88" spans="1:8" x14ac:dyDescent="0.2">
      <c r="A88" s="5"/>
      <c r="B88" s="5"/>
      <c r="C88" s="30"/>
      <c r="D88" s="30"/>
      <c r="E88" s="30"/>
      <c r="F88" s="30"/>
      <c r="G88" s="30"/>
      <c r="H88" s="5"/>
    </row>
    <row r="89" spans="1:8" x14ac:dyDescent="0.2">
      <c r="A89" s="5"/>
      <c r="B89" s="5"/>
      <c r="C89" s="30"/>
      <c r="D89" s="30"/>
      <c r="E89" s="30"/>
      <c r="F89" s="30"/>
      <c r="G89" s="30"/>
      <c r="H89" s="5"/>
    </row>
    <row r="90" spans="1:8" x14ac:dyDescent="0.2">
      <c r="A90" s="5"/>
      <c r="B90" s="5"/>
      <c r="C90" s="30"/>
      <c r="D90" s="30"/>
      <c r="E90" s="30"/>
      <c r="F90" s="30"/>
      <c r="G90" s="30"/>
      <c r="H90" s="5"/>
    </row>
    <row r="91" spans="1:8" x14ac:dyDescent="0.2">
      <c r="A91" s="5"/>
      <c r="B91" s="5"/>
      <c r="C91" s="30"/>
      <c r="D91" s="30"/>
      <c r="E91" s="30"/>
      <c r="F91" s="30"/>
      <c r="G91" s="30"/>
      <c r="H91" s="5"/>
    </row>
    <row r="92" spans="1:8" x14ac:dyDescent="0.2">
      <c r="A92" s="5"/>
      <c r="B92" s="5"/>
      <c r="C92" s="30"/>
      <c r="D92" s="30"/>
      <c r="E92" s="30"/>
      <c r="F92" s="30"/>
      <c r="G92" s="30"/>
      <c r="H92" s="5"/>
    </row>
    <row r="93" spans="1:8" x14ac:dyDescent="0.2">
      <c r="A93" s="5"/>
      <c r="B93" s="5"/>
      <c r="C93" s="30"/>
      <c r="D93" s="30"/>
      <c r="E93" s="30"/>
      <c r="F93" s="30"/>
      <c r="G93" s="30"/>
      <c r="H93" s="5"/>
    </row>
    <row r="94" spans="1:8" x14ac:dyDescent="0.2">
      <c r="A94" s="5"/>
      <c r="B94" s="5"/>
      <c r="C94" s="30"/>
      <c r="D94" s="30"/>
      <c r="E94" s="30"/>
      <c r="F94" s="30"/>
      <c r="G94" s="30"/>
      <c r="H94" s="5"/>
    </row>
    <row r="95" spans="1:8" x14ac:dyDescent="0.2">
      <c r="A95" s="5"/>
      <c r="B95" s="5"/>
      <c r="C95" s="30"/>
      <c r="D95" s="30"/>
      <c r="E95" s="30"/>
      <c r="F95" s="30"/>
      <c r="G95" s="30"/>
      <c r="H95" s="5"/>
    </row>
    <row r="96" spans="1:8" x14ac:dyDescent="0.2">
      <c r="A96" s="5"/>
      <c r="B96" s="5"/>
      <c r="C96" s="30"/>
      <c r="D96" s="30"/>
      <c r="E96" s="30"/>
      <c r="F96" s="30"/>
      <c r="G96" s="30"/>
      <c r="H96" s="5"/>
    </row>
    <row r="97" spans="1:8" x14ac:dyDescent="0.2">
      <c r="A97" s="5"/>
      <c r="B97" s="5"/>
      <c r="C97" s="30"/>
      <c r="D97" s="30"/>
      <c r="E97" s="30"/>
      <c r="F97" s="30"/>
      <c r="G97" s="30"/>
      <c r="H97" s="5"/>
    </row>
    <row r="98" spans="1:8" x14ac:dyDescent="0.2">
      <c r="A98" s="5"/>
      <c r="B98" s="5"/>
      <c r="C98" s="30"/>
      <c r="D98" s="30"/>
      <c r="E98" s="30"/>
      <c r="F98" s="30"/>
      <c r="G98" s="30"/>
      <c r="H98" s="5"/>
    </row>
    <row r="99" spans="1:8" x14ac:dyDescent="0.2">
      <c r="A99" s="5"/>
      <c r="B99" s="5"/>
      <c r="C99" s="30"/>
      <c r="D99" s="30"/>
      <c r="E99" s="30"/>
      <c r="F99" s="30"/>
      <c r="G99" s="30"/>
      <c r="H99" s="5"/>
    </row>
    <row r="100" spans="1:8" x14ac:dyDescent="0.2">
      <c r="A100" s="5"/>
      <c r="B100" s="5"/>
      <c r="C100" s="30"/>
      <c r="D100" s="30"/>
      <c r="E100" s="30"/>
      <c r="F100" s="30"/>
      <c r="G100" s="30"/>
      <c r="H100" s="5"/>
    </row>
    <row r="101" spans="1:8" x14ac:dyDescent="0.2">
      <c r="A101" s="5"/>
      <c r="B101" s="5"/>
      <c r="C101" s="30"/>
      <c r="D101" s="30"/>
      <c r="E101" s="30"/>
      <c r="F101" s="30"/>
      <c r="G101" s="30"/>
      <c r="H101" s="5"/>
    </row>
    <row r="102" spans="1:8" x14ac:dyDescent="0.2">
      <c r="A102" s="5"/>
      <c r="B102" s="5"/>
      <c r="C102" s="30"/>
      <c r="D102" s="30"/>
      <c r="E102" s="30"/>
      <c r="F102" s="30"/>
      <c r="G102" s="30"/>
      <c r="H102" s="5"/>
    </row>
    <row r="103" spans="1:8" x14ac:dyDescent="0.2">
      <c r="A103" s="5"/>
      <c r="B103" s="5"/>
      <c r="C103" s="30"/>
      <c r="D103" s="30"/>
      <c r="E103" s="30"/>
      <c r="F103" s="30"/>
      <c r="G103" s="30"/>
      <c r="H103" s="5"/>
    </row>
    <row r="104" spans="1:8" x14ac:dyDescent="0.2">
      <c r="A104" s="5"/>
      <c r="B104" s="5"/>
      <c r="C104" s="30"/>
      <c r="D104" s="30"/>
      <c r="E104" s="30"/>
      <c r="F104" s="30"/>
      <c r="G104" s="30"/>
      <c r="H104" s="5"/>
    </row>
    <row r="105" spans="1:8" x14ac:dyDescent="0.2">
      <c r="A105" s="5"/>
      <c r="B105" s="5"/>
      <c r="C105" s="30"/>
      <c r="D105" s="30"/>
      <c r="E105" s="30"/>
      <c r="F105" s="30"/>
      <c r="G105" s="30"/>
      <c r="H105" s="5"/>
    </row>
    <row r="106" spans="1:8" x14ac:dyDescent="0.2">
      <c r="A106" s="5"/>
      <c r="B106" s="5"/>
      <c r="C106" s="30"/>
      <c r="D106" s="30"/>
      <c r="E106" s="30"/>
      <c r="F106" s="30"/>
      <c r="G106" s="30"/>
      <c r="H106" s="5"/>
    </row>
    <row r="107" spans="1:8" x14ac:dyDescent="0.2">
      <c r="A107" s="5"/>
      <c r="B107" s="5"/>
      <c r="C107" s="30"/>
      <c r="D107" s="30"/>
      <c r="E107" s="30"/>
      <c r="F107" s="30"/>
      <c r="G107" s="30"/>
      <c r="H107" s="5"/>
    </row>
    <row r="108" spans="1:8" x14ac:dyDescent="0.2">
      <c r="A108" s="5"/>
      <c r="B108" s="5"/>
      <c r="C108" s="30"/>
      <c r="D108" s="30"/>
      <c r="E108" s="30"/>
      <c r="F108" s="30"/>
      <c r="G108" s="30"/>
      <c r="H108" s="5"/>
    </row>
    <row r="109" spans="1:8" x14ac:dyDescent="0.2">
      <c r="A109" s="5"/>
      <c r="B109" s="5"/>
      <c r="C109" s="30"/>
      <c r="D109" s="30"/>
      <c r="E109" s="30"/>
      <c r="F109" s="30"/>
      <c r="G109" s="30"/>
      <c r="H109" s="5"/>
    </row>
    <row r="110" spans="1:8" x14ac:dyDescent="0.2">
      <c r="A110" s="5"/>
      <c r="B110" s="5"/>
      <c r="C110" s="30"/>
      <c r="D110" s="30"/>
      <c r="E110" s="30"/>
      <c r="F110" s="30"/>
      <c r="G110" s="30"/>
      <c r="H110" s="5"/>
    </row>
    <row r="111" spans="1:8" x14ac:dyDescent="0.2">
      <c r="A111" s="5"/>
      <c r="B111" s="5"/>
      <c r="C111" s="30"/>
      <c r="D111" s="30"/>
      <c r="E111" s="30"/>
      <c r="F111" s="30"/>
      <c r="G111" s="30"/>
      <c r="H111" s="5"/>
    </row>
    <row r="112" spans="1:8" x14ac:dyDescent="0.2">
      <c r="A112" s="5"/>
      <c r="B112" s="5"/>
      <c r="C112" s="30"/>
      <c r="D112" s="30"/>
      <c r="E112" s="30"/>
      <c r="F112" s="30"/>
      <c r="G112" s="30"/>
      <c r="H112" s="5"/>
    </row>
    <row r="113" spans="1:8" x14ac:dyDescent="0.2">
      <c r="A113" s="5"/>
      <c r="B113" s="5"/>
      <c r="C113" s="30"/>
      <c r="D113" s="30"/>
      <c r="E113" s="30"/>
      <c r="F113" s="30"/>
      <c r="G113" s="30"/>
      <c r="H113" s="5"/>
    </row>
    <row r="114" spans="1:8" x14ac:dyDescent="0.2">
      <c r="A114" s="5"/>
      <c r="B114" s="5"/>
      <c r="C114" s="30"/>
      <c r="D114" s="30"/>
      <c r="E114" s="30"/>
      <c r="F114" s="30"/>
      <c r="G114" s="30"/>
      <c r="H114" s="5"/>
    </row>
    <row r="115" spans="1:8" x14ac:dyDescent="0.2">
      <c r="A115" s="5"/>
      <c r="B115" s="5"/>
      <c r="C115" s="30"/>
      <c r="D115" s="30"/>
      <c r="E115" s="30"/>
      <c r="F115" s="30"/>
      <c r="G115" s="30"/>
      <c r="H115" s="5"/>
    </row>
    <row r="116" spans="1:8" x14ac:dyDescent="0.2">
      <c r="A116" s="5"/>
      <c r="B116" s="5"/>
      <c r="C116" s="30"/>
      <c r="D116" s="30"/>
      <c r="E116" s="30"/>
      <c r="F116" s="30"/>
      <c r="G116" s="30"/>
      <c r="H116" s="5"/>
    </row>
    <row r="117" spans="1:8" x14ac:dyDescent="0.2">
      <c r="A117" s="5"/>
      <c r="B117" s="5"/>
      <c r="C117" s="30"/>
      <c r="D117" s="30"/>
      <c r="E117" s="30"/>
      <c r="F117" s="30"/>
      <c r="G117" s="30"/>
      <c r="H117" s="5"/>
    </row>
    <row r="118" spans="1:8" x14ac:dyDescent="0.2">
      <c r="A118" s="5"/>
      <c r="B118" s="5"/>
      <c r="C118" s="30"/>
      <c r="D118" s="30"/>
      <c r="E118" s="30"/>
      <c r="F118" s="30"/>
      <c r="G118" s="30"/>
      <c r="H118" s="5"/>
    </row>
    <row r="119" spans="1:8" x14ac:dyDescent="0.2">
      <c r="A119" s="5"/>
      <c r="B119" s="5"/>
      <c r="C119" s="30"/>
      <c r="D119" s="30"/>
      <c r="E119" s="30"/>
      <c r="F119" s="30"/>
      <c r="G119" s="30"/>
      <c r="H119" s="5"/>
    </row>
    <row r="120" spans="1:8" x14ac:dyDescent="0.2">
      <c r="A120" s="5"/>
      <c r="B120" s="5"/>
      <c r="C120" s="30"/>
      <c r="D120" s="30"/>
      <c r="E120" s="30"/>
      <c r="F120" s="30"/>
      <c r="G120" s="30"/>
      <c r="H120" s="5"/>
    </row>
    <row r="121" spans="1:8" x14ac:dyDescent="0.2">
      <c r="A121" s="5"/>
      <c r="B121" s="5"/>
      <c r="C121" s="30"/>
      <c r="D121" s="30"/>
      <c r="E121" s="30"/>
      <c r="F121" s="30"/>
      <c r="G121" s="30"/>
      <c r="H121" s="5"/>
    </row>
    <row r="122" spans="1:8" x14ac:dyDescent="0.2">
      <c r="A122" s="5"/>
      <c r="B122" s="5"/>
      <c r="C122" s="30"/>
      <c r="D122" s="30"/>
      <c r="E122" s="30"/>
      <c r="F122" s="30"/>
      <c r="G122" s="30"/>
      <c r="H122" s="5"/>
    </row>
    <row r="123" spans="1:8" x14ac:dyDescent="0.2">
      <c r="A123" s="5"/>
      <c r="B123" s="5"/>
      <c r="C123" s="30"/>
      <c r="D123" s="30"/>
      <c r="E123" s="30"/>
      <c r="F123" s="30"/>
      <c r="G123" s="30"/>
      <c r="H123" s="5"/>
    </row>
    <row r="124" spans="1:8" x14ac:dyDescent="0.2">
      <c r="A124" s="5"/>
      <c r="B124" s="5"/>
      <c r="C124" s="30"/>
      <c r="D124" s="30"/>
      <c r="E124" s="30"/>
      <c r="F124" s="30"/>
      <c r="G124" s="30"/>
      <c r="H124" s="5"/>
    </row>
    <row r="125" spans="1:8" x14ac:dyDescent="0.2">
      <c r="A125" s="5"/>
      <c r="B125" s="5"/>
      <c r="C125" s="30"/>
      <c r="D125" s="30"/>
      <c r="E125" s="30"/>
      <c r="F125" s="30"/>
      <c r="G125" s="30"/>
      <c r="H125" s="5"/>
    </row>
    <row r="126" spans="1:8" x14ac:dyDescent="0.2">
      <c r="A126" s="5"/>
      <c r="B126" s="5"/>
      <c r="C126" s="30"/>
      <c r="D126" s="30"/>
      <c r="E126" s="30"/>
      <c r="F126" s="30"/>
      <c r="G126" s="30"/>
      <c r="H126" s="5"/>
    </row>
    <row r="127" spans="1:8" x14ac:dyDescent="0.2">
      <c r="A127" s="5"/>
      <c r="B127" s="5"/>
      <c r="C127" s="30"/>
      <c r="D127" s="30"/>
      <c r="E127" s="30"/>
      <c r="F127" s="30"/>
      <c r="G127" s="30"/>
      <c r="H127" s="5"/>
    </row>
    <row r="128" spans="1:8" x14ac:dyDescent="0.2">
      <c r="A128" s="5"/>
      <c r="B128" s="5"/>
      <c r="C128" s="30"/>
      <c r="D128" s="30"/>
      <c r="E128" s="30"/>
      <c r="F128" s="30"/>
      <c r="G128" s="30"/>
      <c r="H128" s="5"/>
    </row>
    <row r="129" spans="1:8" x14ac:dyDescent="0.2">
      <c r="A129" s="5"/>
      <c r="B129" s="5"/>
      <c r="C129" s="30"/>
      <c r="D129" s="30"/>
      <c r="E129" s="30"/>
      <c r="F129" s="30"/>
      <c r="G129" s="30"/>
      <c r="H129" s="5"/>
    </row>
    <row r="130" spans="1:8" x14ac:dyDescent="0.2">
      <c r="A130" s="5"/>
      <c r="B130" s="5"/>
      <c r="C130" s="30"/>
      <c r="D130" s="30"/>
      <c r="E130" s="30"/>
      <c r="F130" s="30"/>
      <c r="G130" s="30"/>
      <c r="H130" s="5"/>
    </row>
    <row r="131" spans="1:8" x14ac:dyDescent="0.2">
      <c r="A131" s="5"/>
      <c r="B131" s="5"/>
      <c r="C131" s="30"/>
      <c r="D131" s="30"/>
      <c r="E131" s="30"/>
      <c r="F131" s="30"/>
      <c r="G131" s="30"/>
      <c r="H131" s="5"/>
    </row>
    <row r="132" spans="1:8" x14ac:dyDescent="0.2">
      <c r="A132" s="5"/>
      <c r="B132" s="5"/>
      <c r="C132" s="30"/>
      <c r="D132" s="30"/>
      <c r="E132" s="30"/>
      <c r="F132" s="30"/>
      <c r="G132" s="30"/>
      <c r="H132" s="5"/>
    </row>
    <row r="133" spans="1:8" x14ac:dyDescent="0.2">
      <c r="A133" s="5"/>
      <c r="B133" s="5"/>
      <c r="C133" s="30"/>
      <c r="D133" s="30"/>
      <c r="E133" s="30"/>
      <c r="F133" s="30"/>
      <c r="G133" s="30"/>
      <c r="H133" s="5"/>
    </row>
    <row r="134" spans="1:8" x14ac:dyDescent="0.2">
      <c r="A134" s="5"/>
      <c r="B134" s="5"/>
      <c r="C134" s="30"/>
      <c r="D134" s="30"/>
      <c r="E134" s="30"/>
      <c r="F134" s="30"/>
      <c r="G134" s="30"/>
      <c r="H134" s="5"/>
    </row>
    <row r="135" spans="1:8" x14ac:dyDescent="0.2">
      <c r="A135" s="5"/>
      <c r="B135" s="5"/>
      <c r="C135" s="30"/>
      <c r="D135" s="30"/>
      <c r="E135" s="30"/>
      <c r="F135" s="30"/>
      <c r="G135" s="30"/>
      <c r="H135" s="5"/>
    </row>
    <row r="136" spans="1:8" x14ac:dyDescent="0.2">
      <c r="A136" s="5"/>
      <c r="B136" s="5"/>
      <c r="C136" s="30"/>
      <c r="D136" s="30"/>
      <c r="E136" s="30"/>
      <c r="F136" s="30"/>
      <c r="G136" s="30"/>
      <c r="H136" s="5"/>
    </row>
    <row r="137" spans="1:8" x14ac:dyDescent="0.2">
      <c r="A137" s="5"/>
      <c r="B137" s="5"/>
      <c r="C137" s="30"/>
      <c r="D137" s="30"/>
      <c r="E137" s="30"/>
      <c r="F137" s="30"/>
      <c r="G137" s="30"/>
      <c r="H137" s="5"/>
    </row>
    <row r="138" spans="1:8" x14ac:dyDescent="0.2">
      <c r="A138" s="5"/>
      <c r="B138" s="5"/>
      <c r="C138" s="30"/>
      <c r="D138" s="30"/>
      <c r="E138" s="30"/>
      <c r="F138" s="30"/>
      <c r="G138" s="30"/>
      <c r="H138" s="5"/>
    </row>
    <row r="139" spans="1:8" x14ac:dyDescent="0.2">
      <c r="A139" s="5"/>
      <c r="B139" s="5"/>
      <c r="C139" s="30"/>
      <c r="D139" s="30"/>
      <c r="E139" s="30"/>
      <c r="F139" s="30"/>
      <c r="G139" s="30"/>
      <c r="H139" s="5"/>
    </row>
    <row r="140" spans="1:8" x14ac:dyDescent="0.2">
      <c r="A140" s="5"/>
      <c r="B140" s="5"/>
      <c r="C140" s="30"/>
      <c r="D140" s="30"/>
      <c r="E140" s="30"/>
      <c r="F140" s="30"/>
      <c r="G140" s="30"/>
      <c r="H140" s="5"/>
    </row>
    <row r="141" spans="1:8" x14ac:dyDescent="0.2">
      <c r="A141" s="5"/>
      <c r="B141" s="5"/>
      <c r="C141" s="30"/>
      <c r="D141" s="30"/>
      <c r="E141" s="30"/>
      <c r="F141" s="30"/>
      <c r="G141" s="30"/>
      <c r="H141" s="5"/>
    </row>
    <row r="142" spans="1:8" x14ac:dyDescent="0.2">
      <c r="A142" s="5"/>
      <c r="B142" s="5"/>
      <c r="C142" s="30"/>
      <c r="D142" s="30"/>
      <c r="E142" s="30"/>
      <c r="F142" s="30"/>
      <c r="G142" s="30"/>
      <c r="H142" s="5"/>
    </row>
    <row r="143" spans="1:8" x14ac:dyDescent="0.2">
      <c r="A143" s="5"/>
      <c r="B143" s="5"/>
      <c r="C143" s="30"/>
      <c r="D143" s="30"/>
      <c r="E143" s="30"/>
      <c r="F143" s="30"/>
      <c r="G143" s="30"/>
      <c r="H143" s="5"/>
    </row>
    <row r="144" spans="1:8" x14ac:dyDescent="0.2">
      <c r="A144" s="5"/>
      <c r="B144" s="5"/>
      <c r="C144" s="30"/>
      <c r="D144" s="30"/>
      <c r="E144" s="30"/>
      <c r="F144" s="30"/>
      <c r="G144" s="30"/>
      <c r="H144" s="5"/>
    </row>
    <row r="145" spans="1:8" x14ac:dyDescent="0.2">
      <c r="A145" s="5"/>
      <c r="B145" s="5"/>
      <c r="C145" s="30"/>
      <c r="D145" s="30"/>
      <c r="E145" s="30"/>
      <c r="F145" s="30"/>
      <c r="G145" s="30"/>
      <c r="H145" s="5"/>
    </row>
    <row r="146" spans="1:8" x14ac:dyDescent="0.2">
      <c r="A146" s="5"/>
      <c r="B146" s="5"/>
      <c r="C146" s="30"/>
      <c r="D146" s="30"/>
      <c r="E146" s="30"/>
      <c r="F146" s="30"/>
      <c r="G146" s="30"/>
      <c r="H146" s="5"/>
    </row>
    <row r="147" spans="1:8" x14ac:dyDescent="0.2">
      <c r="A147" s="5"/>
      <c r="B147" s="5"/>
      <c r="C147" s="30"/>
      <c r="D147" s="30"/>
      <c r="E147" s="30"/>
      <c r="F147" s="30"/>
      <c r="G147" s="30"/>
      <c r="H147" s="5"/>
    </row>
    <row r="148" spans="1:8" x14ac:dyDescent="0.2">
      <c r="A148" s="5"/>
      <c r="B148" s="5"/>
      <c r="C148" s="30"/>
      <c r="D148" s="30"/>
      <c r="E148" s="30"/>
      <c r="F148" s="30"/>
      <c r="G148" s="30"/>
      <c r="H148" s="5"/>
    </row>
    <row r="149" spans="1:8" x14ac:dyDescent="0.2">
      <c r="A149" s="5"/>
      <c r="B149" s="5"/>
      <c r="C149" s="30"/>
      <c r="D149" s="30"/>
      <c r="E149" s="30"/>
      <c r="F149" s="30"/>
      <c r="G149" s="30"/>
      <c r="H149" s="5"/>
    </row>
    <row r="150" spans="1:8" x14ac:dyDescent="0.2">
      <c r="A150" s="5"/>
      <c r="B150" s="5"/>
      <c r="C150" s="30"/>
      <c r="D150" s="30"/>
      <c r="E150" s="30"/>
      <c r="F150" s="30"/>
      <c r="G150" s="30"/>
      <c r="H150" s="5"/>
    </row>
    <row r="151" spans="1:8" x14ac:dyDescent="0.2">
      <c r="A151" s="5"/>
      <c r="B151" s="5"/>
      <c r="C151" s="30"/>
      <c r="D151" s="30"/>
      <c r="E151" s="30"/>
      <c r="F151" s="30"/>
      <c r="G151" s="30"/>
      <c r="H151" s="5"/>
    </row>
    <row r="152" spans="1:8" x14ac:dyDescent="0.2">
      <c r="A152" s="5"/>
      <c r="B152" s="5"/>
      <c r="C152" s="30"/>
      <c r="D152" s="30"/>
      <c r="E152" s="30"/>
      <c r="F152" s="30"/>
      <c r="G152" s="30"/>
      <c r="H152" s="5"/>
    </row>
    <row r="153" spans="1:8" x14ac:dyDescent="0.2">
      <c r="A153" s="5"/>
      <c r="B153" s="5"/>
      <c r="C153" s="30"/>
      <c r="D153" s="30"/>
      <c r="E153" s="30"/>
      <c r="F153" s="30"/>
      <c r="G153" s="30"/>
      <c r="H153" s="5"/>
    </row>
    <row r="154" spans="1:8" x14ac:dyDescent="0.2">
      <c r="A154" s="5"/>
      <c r="B154" s="5"/>
      <c r="C154" s="30"/>
      <c r="D154" s="30"/>
      <c r="E154" s="30"/>
      <c r="F154" s="30"/>
      <c r="G154" s="30"/>
      <c r="H154" s="5"/>
    </row>
    <row r="155" spans="1:8" x14ac:dyDescent="0.2">
      <c r="A155" s="5"/>
      <c r="B155" s="5"/>
      <c r="C155" s="30"/>
      <c r="D155" s="30"/>
      <c r="E155" s="30"/>
      <c r="F155" s="30"/>
      <c r="G155" s="30"/>
      <c r="H155" s="5"/>
    </row>
    <row r="156" spans="1:8" x14ac:dyDescent="0.2">
      <c r="A156" s="5"/>
      <c r="B156" s="5"/>
      <c r="C156" s="30"/>
      <c r="D156" s="30"/>
      <c r="E156" s="30"/>
      <c r="F156" s="30"/>
      <c r="G156" s="30"/>
      <c r="H156" s="5"/>
    </row>
    <row r="157" spans="1:8" x14ac:dyDescent="0.2">
      <c r="A157" s="5"/>
      <c r="B157" s="5"/>
      <c r="C157" s="30"/>
      <c r="D157" s="30"/>
      <c r="E157" s="30"/>
      <c r="F157" s="30"/>
      <c r="G157" s="30"/>
      <c r="H157" s="5"/>
    </row>
    <row r="158" spans="1:8" x14ac:dyDescent="0.2">
      <c r="A158" s="5"/>
      <c r="B158" s="5"/>
      <c r="C158" s="30"/>
      <c r="D158" s="30"/>
      <c r="E158" s="30"/>
      <c r="F158" s="30"/>
      <c r="G158" s="30"/>
      <c r="H158" s="5"/>
    </row>
    <row r="159" spans="1:8" x14ac:dyDescent="0.2">
      <c r="A159" s="5"/>
      <c r="B159" s="5"/>
      <c r="C159" s="30"/>
      <c r="D159" s="30"/>
      <c r="E159" s="30"/>
      <c r="F159" s="30"/>
      <c r="G159" s="30"/>
      <c r="H159" s="5"/>
    </row>
    <row r="160" spans="1:8" x14ac:dyDescent="0.2">
      <c r="A160" s="5"/>
      <c r="B160" s="5"/>
      <c r="C160" s="30"/>
      <c r="D160" s="30"/>
      <c r="E160" s="30"/>
      <c r="F160" s="30"/>
      <c r="G160" s="30"/>
      <c r="H160" s="5"/>
    </row>
    <row r="161" spans="1:8" x14ac:dyDescent="0.2">
      <c r="A161" s="5"/>
      <c r="B161" s="5"/>
      <c r="C161" s="5"/>
      <c r="D161" s="5"/>
      <c r="E161" s="5"/>
      <c r="F161" s="5"/>
      <c r="G161" s="5"/>
      <c r="H161" s="5"/>
    </row>
    <row r="162" spans="1:8" x14ac:dyDescent="0.2">
      <c r="A162" s="5"/>
      <c r="B162" s="5"/>
      <c r="C162" s="5"/>
      <c r="D162" s="5"/>
      <c r="E162" s="5"/>
      <c r="F162" s="5"/>
      <c r="G162" s="5"/>
      <c r="H162" s="5"/>
    </row>
    <row r="163" spans="1:8" x14ac:dyDescent="0.2">
      <c r="A163" s="5"/>
      <c r="B163" s="5"/>
      <c r="C163" s="5"/>
      <c r="D163" s="5"/>
      <c r="E163" s="5"/>
      <c r="F163" s="5"/>
      <c r="G163" s="5"/>
      <c r="H163" s="5"/>
    </row>
    <row r="164" spans="1:8" x14ac:dyDescent="0.2">
      <c r="A164" s="5"/>
      <c r="B164" s="5"/>
      <c r="C164" s="5"/>
      <c r="D164" s="5"/>
      <c r="E164" s="5"/>
      <c r="F164" s="5"/>
      <c r="G164" s="5"/>
      <c r="H164" s="5"/>
    </row>
    <row r="165" spans="1:8" x14ac:dyDescent="0.2">
      <c r="A165" s="5"/>
      <c r="B165" s="5"/>
      <c r="C165" s="5"/>
      <c r="D165" s="5"/>
      <c r="E165" s="5"/>
      <c r="F165" s="5"/>
      <c r="G165" s="5"/>
      <c r="H165" s="5"/>
    </row>
    <row r="166" spans="1:8" x14ac:dyDescent="0.2">
      <c r="A166" s="5"/>
      <c r="B166" s="5"/>
      <c r="C166" s="5"/>
      <c r="D166" s="5"/>
      <c r="E166" s="5"/>
      <c r="F166" s="5"/>
      <c r="G166" s="5"/>
      <c r="H166" s="5"/>
    </row>
    <row r="167" spans="1:8" x14ac:dyDescent="0.2">
      <c r="A167" s="5"/>
      <c r="B167" s="5"/>
      <c r="C167" s="5"/>
      <c r="D167" s="5"/>
      <c r="E167" s="5"/>
      <c r="F167" s="5"/>
      <c r="G167" s="5"/>
      <c r="H167" s="5"/>
    </row>
    <row r="168" spans="1:8" x14ac:dyDescent="0.2">
      <c r="A168" s="5"/>
      <c r="B168" s="5"/>
      <c r="C168" s="5"/>
      <c r="D168" s="5"/>
      <c r="E168" s="5"/>
      <c r="F168" s="5"/>
      <c r="G168" s="5"/>
      <c r="H168" s="5"/>
    </row>
    <row r="169" spans="1:8" x14ac:dyDescent="0.2">
      <c r="A169" s="5"/>
      <c r="B169" s="5"/>
      <c r="C169" s="5"/>
      <c r="D169" s="5"/>
      <c r="E169" s="5"/>
      <c r="F169" s="5"/>
      <c r="G169" s="5"/>
      <c r="H169" s="5"/>
    </row>
    <row r="170" spans="1:8" x14ac:dyDescent="0.2">
      <c r="A170" s="5"/>
      <c r="B170" s="5"/>
      <c r="C170" s="5"/>
      <c r="D170" s="5"/>
      <c r="E170" s="5"/>
      <c r="F170" s="5"/>
      <c r="G170" s="5"/>
      <c r="H170" s="5"/>
    </row>
    <row r="171" spans="1:8" x14ac:dyDescent="0.2">
      <c r="A171" s="5"/>
      <c r="B171" s="5"/>
      <c r="C171" s="5"/>
      <c r="D171" s="5"/>
      <c r="E171" s="5"/>
      <c r="F171" s="5"/>
      <c r="G171" s="5"/>
      <c r="H171" s="5"/>
    </row>
    <row r="172" spans="1:8" x14ac:dyDescent="0.2">
      <c r="A172" s="5"/>
      <c r="B172" s="5"/>
      <c r="C172" s="5"/>
      <c r="D172" s="5"/>
      <c r="E172" s="5"/>
      <c r="F172" s="5"/>
      <c r="G172" s="5"/>
      <c r="H172" s="5"/>
    </row>
    <row r="173" spans="1:8" x14ac:dyDescent="0.2">
      <c r="A173" s="5"/>
      <c r="B173" s="5"/>
      <c r="C173" s="5"/>
      <c r="D173" s="5"/>
      <c r="E173" s="5"/>
      <c r="F173" s="5"/>
      <c r="G173" s="5"/>
      <c r="H173" s="5"/>
    </row>
    <row r="174" spans="1:8" x14ac:dyDescent="0.2">
      <c r="A174" s="5"/>
      <c r="B174" s="5"/>
      <c r="C174" s="5"/>
      <c r="D174" s="5"/>
      <c r="E174" s="5"/>
      <c r="F174" s="5"/>
      <c r="G174" s="5"/>
      <c r="H174" s="5"/>
    </row>
    <row r="175" spans="1:8" x14ac:dyDescent="0.2">
      <c r="A175" s="5"/>
      <c r="B175" s="5"/>
      <c r="C175" s="5"/>
      <c r="D175" s="5"/>
      <c r="E175" s="5"/>
      <c r="F175" s="5"/>
      <c r="G175" s="5"/>
      <c r="H175" s="5"/>
    </row>
    <row r="176" spans="1:8" x14ac:dyDescent="0.2">
      <c r="A176" s="5"/>
      <c r="B176" s="5"/>
      <c r="C176" s="5"/>
      <c r="D176" s="5"/>
      <c r="E176" s="5"/>
      <c r="F176" s="5"/>
      <c r="G176" s="5"/>
      <c r="H176" s="5"/>
    </row>
    <row r="177" spans="1:8" x14ac:dyDescent="0.2">
      <c r="A177" s="5"/>
      <c r="B177" s="5"/>
      <c r="C177" s="5"/>
      <c r="D177" s="5"/>
      <c r="E177" s="5"/>
      <c r="F177" s="5"/>
      <c r="G177" s="5"/>
      <c r="H177" s="5"/>
    </row>
    <row r="178" spans="1:8" x14ac:dyDescent="0.2">
      <c r="A178" s="5"/>
      <c r="B178" s="5"/>
      <c r="C178" s="5"/>
      <c r="D178" s="5"/>
      <c r="E178" s="5"/>
      <c r="F178" s="5"/>
      <c r="G178" s="5"/>
      <c r="H178" s="5"/>
    </row>
    <row r="179" spans="1:8" x14ac:dyDescent="0.2">
      <c r="A179" s="5"/>
      <c r="B179" s="5"/>
      <c r="C179" s="5"/>
      <c r="D179" s="5"/>
      <c r="E179" s="5"/>
      <c r="F179" s="5"/>
      <c r="G179" s="5"/>
      <c r="H179" s="5"/>
    </row>
    <row r="180" spans="1:8" x14ac:dyDescent="0.2">
      <c r="A180" s="5"/>
      <c r="B180" s="5"/>
      <c r="C180" s="5"/>
      <c r="D180" s="5"/>
      <c r="E180" s="5"/>
      <c r="F180" s="5"/>
      <c r="G180" s="5"/>
      <c r="H180" s="5"/>
    </row>
    <row r="181" spans="1:8" x14ac:dyDescent="0.2">
      <c r="A181" s="5"/>
      <c r="B181" s="5"/>
      <c r="C181" s="5"/>
      <c r="D181" s="5"/>
      <c r="E181" s="5"/>
      <c r="F181" s="5"/>
      <c r="G181" s="5"/>
      <c r="H181" s="5"/>
    </row>
    <row r="182" spans="1:8" x14ac:dyDescent="0.2">
      <c r="A182" s="5"/>
      <c r="B182" s="5"/>
      <c r="C182" s="5"/>
      <c r="D182" s="5"/>
      <c r="E182" s="5"/>
      <c r="F182" s="5"/>
      <c r="G182" s="5"/>
      <c r="H182" s="5"/>
    </row>
    <row r="183" spans="1:8" x14ac:dyDescent="0.2">
      <c r="A183" s="5"/>
      <c r="B183" s="5"/>
      <c r="C183" s="5"/>
      <c r="D183" s="5"/>
      <c r="E183" s="5"/>
      <c r="F183" s="5"/>
      <c r="G183" s="5"/>
      <c r="H183" s="5"/>
    </row>
    <row r="184" spans="1:8" x14ac:dyDescent="0.2">
      <c r="A184" s="5"/>
      <c r="B184" s="5"/>
      <c r="C184" s="5"/>
      <c r="D184" s="5"/>
      <c r="E184" s="5"/>
      <c r="F184" s="5"/>
      <c r="G184" s="5"/>
      <c r="H184" s="5"/>
    </row>
    <row r="185" spans="1:8" x14ac:dyDescent="0.2">
      <c r="A185" s="5"/>
      <c r="B185" s="5"/>
      <c r="C185" s="5"/>
      <c r="D185" s="5"/>
      <c r="E185" s="5"/>
      <c r="F185" s="5"/>
      <c r="G185" s="5"/>
      <c r="H185" s="5"/>
    </row>
    <row r="186" spans="1:8" x14ac:dyDescent="0.2">
      <c r="A186" s="5"/>
      <c r="B186" s="5"/>
      <c r="C186" s="5"/>
      <c r="D186" s="5"/>
      <c r="E186" s="5"/>
      <c r="F186" s="5"/>
      <c r="G186" s="5"/>
      <c r="H186" s="5"/>
    </row>
    <row r="187" spans="1:8" x14ac:dyDescent="0.2">
      <c r="A187" s="5"/>
      <c r="B187" s="5"/>
      <c r="C187" s="5"/>
      <c r="D187" s="5"/>
      <c r="E187" s="5"/>
      <c r="F187" s="5"/>
      <c r="G187" s="5"/>
      <c r="H187" s="5"/>
    </row>
    <row r="188" spans="1:8" x14ac:dyDescent="0.2">
      <c r="A188" s="5"/>
      <c r="B188" s="5"/>
      <c r="C188" s="5"/>
      <c r="D188" s="5"/>
      <c r="E188" s="5"/>
      <c r="F188" s="5"/>
      <c r="G188" s="5"/>
      <c r="H188" s="5"/>
    </row>
    <row r="189" spans="1:8" x14ac:dyDescent="0.2">
      <c r="A189" s="5"/>
      <c r="B189" s="5"/>
      <c r="C189" s="5"/>
      <c r="D189" s="5"/>
      <c r="E189" s="5"/>
      <c r="F189" s="5"/>
      <c r="G189" s="5"/>
      <c r="H189" s="5"/>
    </row>
    <row r="190" spans="1:8" x14ac:dyDescent="0.2">
      <c r="A190" s="5"/>
      <c r="B190" s="5"/>
      <c r="C190" s="5"/>
      <c r="D190" s="5"/>
      <c r="E190" s="5"/>
      <c r="F190" s="5"/>
      <c r="G190" s="5"/>
      <c r="H190" s="5"/>
    </row>
    <row r="191" spans="1:8" x14ac:dyDescent="0.2">
      <c r="A191" s="5"/>
      <c r="B191" s="5"/>
      <c r="C191" s="5"/>
      <c r="D191" s="5"/>
      <c r="E191" s="5"/>
      <c r="F191" s="5"/>
      <c r="G191" s="5"/>
      <c r="H191" s="5"/>
    </row>
    <row r="192" spans="1:8" x14ac:dyDescent="0.2">
      <c r="A192" s="5"/>
      <c r="B192" s="5"/>
      <c r="C192" s="5"/>
      <c r="D192" s="5"/>
      <c r="E192" s="5"/>
      <c r="F192" s="5"/>
      <c r="G192" s="5"/>
      <c r="H192" s="5"/>
    </row>
    <row r="193" spans="1:8" x14ac:dyDescent="0.2">
      <c r="A193" s="5"/>
      <c r="B193" s="5"/>
      <c r="C193" s="5"/>
      <c r="D193" s="5"/>
      <c r="E193" s="5"/>
      <c r="F193" s="5"/>
      <c r="G193" s="5"/>
      <c r="H193" s="5"/>
    </row>
    <row r="194" spans="1:8" x14ac:dyDescent="0.2">
      <c r="A194" s="5"/>
      <c r="B194" s="5"/>
      <c r="C194" s="5"/>
      <c r="D194" s="5"/>
      <c r="E194" s="5"/>
      <c r="F194" s="5"/>
      <c r="G194" s="5"/>
      <c r="H194" s="5"/>
    </row>
    <row r="195" spans="1:8" x14ac:dyDescent="0.2">
      <c r="A195" s="5"/>
      <c r="B195" s="5"/>
      <c r="C195" s="5"/>
      <c r="D195" s="5"/>
      <c r="E195" s="5"/>
      <c r="F195" s="5"/>
      <c r="G195" s="5"/>
      <c r="H195" s="5"/>
    </row>
    <row r="196" spans="1:8" x14ac:dyDescent="0.2">
      <c r="A196" s="5"/>
      <c r="B196" s="5"/>
      <c r="C196" s="5"/>
      <c r="D196" s="5"/>
      <c r="E196" s="5"/>
      <c r="F196" s="5"/>
      <c r="G196" s="5"/>
      <c r="H196" s="5"/>
    </row>
    <row r="197" spans="1:8" x14ac:dyDescent="0.2">
      <c r="A197" s="5"/>
      <c r="B197" s="5"/>
      <c r="C197" s="5"/>
      <c r="D197" s="5"/>
      <c r="E197" s="5"/>
      <c r="F197" s="5"/>
      <c r="G197" s="5"/>
      <c r="H197" s="5"/>
    </row>
    <row r="198" spans="1:8" x14ac:dyDescent="0.2">
      <c r="A198" s="5"/>
      <c r="B198" s="5"/>
      <c r="C198" s="5"/>
      <c r="D198" s="5"/>
      <c r="E198" s="5"/>
      <c r="F198" s="5"/>
      <c r="G198" s="5"/>
      <c r="H198" s="5"/>
    </row>
    <row r="199" spans="1:8" x14ac:dyDescent="0.2">
      <c r="A199" s="5"/>
      <c r="B199" s="5"/>
      <c r="C199" s="5"/>
      <c r="D199" s="5"/>
      <c r="E199" s="5"/>
      <c r="F199" s="5"/>
      <c r="G199" s="5"/>
      <c r="H199" s="5"/>
    </row>
    <row r="200" spans="1:8" x14ac:dyDescent="0.2">
      <c r="A200" s="5"/>
      <c r="B200" s="5"/>
      <c r="C200" s="5"/>
      <c r="D200" s="5"/>
      <c r="E200" s="5"/>
      <c r="F200" s="5"/>
      <c r="G200" s="5"/>
      <c r="H200" s="5"/>
    </row>
    <row r="201" spans="1:8" x14ac:dyDescent="0.2">
      <c r="A201" s="5"/>
      <c r="B201" s="5"/>
      <c r="C201" s="5"/>
      <c r="D201" s="5"/>
      <c r="E201" s="5"/>
      <c r="F201" s="5"/>
      <c r="G201" s="5"/>
      <c r="H201" s="5"/>
    </row>
    <row r="202" spans="1:8" x14ac:dyDescent="0.2">
      <c r="A202" s="5"/>
      <c r="B202" s="5"/>
      <c r="C202" s="5"/>
      <c r="D202" s="5"/>
      <c r="E202" s="5"/>
      <c r="F202" s="5"/>
      <c r="G202" s="5"/>
      <c r="H202" s="5"/>
    </row>
    <row r="203" spans="1:8" x14ac:dyDescent="0.2">
      <c r="A203" s="5"/>
      <c r="B203" s="5"/>
      <c r="C203" s="5"/>
      <c r="D203" s="5"/>
      <c r="E203" s="5"/>
      <c r="F203" s="5"/>
      <c r="G203" s="5"/>
      <c r="H203" s="5"/>
    </row>
    <row r="204" spans="1:8" x14ac:dyDescent="0.2">
      <c r="A204" s="5"/>
      <c r="B204" s="5"/>
      <c r="C204" s="5"/>
      <c r="D204" s="5"/>
      <c r="E204" s="5"/>
      <c r="F204" s="5"/>
      <c r="G204" s="5"/>
      <c r="H204" s="5"/>
    </row>
    <row r="205" spans="1:8" x14ac:dyDescent="0.2">
      <c r="A205" s="5"/>
      <c r="B205" s="5"/>
      <c r="C205" s="5"/>
      <c r="D205" s="5"/>
      <c r="E205" s="5"/>
      <c r="F205" s="5"/>
      <c r="G205" s="5"/>
      <c r="H205" s="5"/>
    </row>
    <row r="206" spans="1:8" x14ac:dyDescent="0.2">
      <c r="A206" s="5"/>
      <c r="B206" s="5"/>
      <c r="C206" s="5"/>
      <c r="D206" s="5"/>
      <c r="E206" s="5"/>
      <c r="F206" s="5"/>
      <c r="G206" s="5"/>
      <c r="H206" s="5"/>
    </row>
    <row r="207" spans="1:8" x14ac:dyDescent="0.2">
      <c r="A207" s="5"/>
      <c r="B207" s="5"/>
      <c r="C207" s="5"/>
      <c r="D207" s="5"/>
      <c r="E207" s="5"/>
      <c r="F207" s="5"/>
      <c r="G207" s="5"/>
      <c r="H207" s="5"/>
    </row>
    <row r="208" spans="1:8" x14ac:dyDescent="0.2">
      <c r="A208" s="5"/>
      <c r="B208" s="5"/>
      <c r="C208" s="5"/>
      <c r="D208" s="5"/>
      <c r="E208" s="5"/>
      <c r="F208" s="5"/>
      <c r="G208" s="5"/>
      <c r="H208" s="5"/>
    </row>
    <row r="209" spans="1:8" x14ac:dyDescent="0.2">
      <c r="A209" s="5"/>
      <c r="B209" s="5"/>
      <c r="C209" s="5"/>
      <c r="D209" s="5"/>
      <c r="E209" s="5"/>
      <c r="F209" s="5"/>
      <c r="G209" s="5"/>
      <c r="H209" s="5"/>
    </row>
    <row r="210" spans="1:8" x14ac:dyDescent="0.2">
      <c r="A210" s="5"/>
      <c r="B210" s="5"/>
      <c r="C210" s="5"/>
      <c r="D210" s="5"/>
      <c r="E210" s="5"/>
      <c r="F210" s="5"/>
      <c r="G210" s="5"/>
      <c r="H210" s="5"/>
    </row>
    <row r="211" spans="1:8" x14ac:dyDescent="0.2">
      <c r="A211" s="5"/>
      <c r="B211" s="5"/>
      <c r="C211" s="5"/>
      <c r="D211" s="5"/>
      <c r="E211" s="5"/>
      <c r="F211" s="5"/>
      <c r="G211" s="5"/>
      <c r="H211" s="5"/>
    </row>
    <row r="212" spans="1:8" x14ac:dyDescent="0.2">
      <c r="A212" s="5"/>
      <c r="B212" s="5"/>
      <c r="C212" s="5"/>
      <c r="D212" s="5"/>
      <c r="E212" s="5"/>
      <c r="F212" s="5"/>
      <c r="G212" s="5"/>
      <c r="H212" s="5"/>
    </row>
    <row r="213" spans="1:8" x14ac:dyDescent="0.2">
      <c r="A213" s="5"/>
      <c r="B213" s="5"/>
      <c r="C213" s="5"/>
      <c r="D213" s="5"/>
      <c r="E213" s="5"/>
      <c r="F213" s="5"/>
      <c r="G213" s="5"/>
      <c r="H213" s="5"/>
    </row>
    <row r="214" spans="1:8" x14ac:dyDescent="0.2">
      <c r="A214" s="5"/>
      <c r="B214" s="5"/>
      <c r="C214" s="5"/>
      <c r="D214" s="5"/>
      <c r="E214" s="5"/>
      <c r="F214" s="5"/>
      <c r="G214" s="5"/>
      <c r="H214" s="5"/>
    </row>
    <row r="215" spans="1:8" x14ac:dyDescent="0.2">
      <c r="A215" s="5"/>
      <c r="B215" s="5"/>
      <c r="C215" s="5"/>
      <c r="D215" s="5"/>
      <c r="E215" s="5"/>
      <c r="F215" s="5"/>
      <c r="G215" s="5"/>
      <c r="H215" s="5"/>
    </row>
    <row r="216" spans="1:8" x14ac:dyDescent="0.2">
      <c r="A216" s="5"/>
      <c r="B216" s="5"/>
      <c r="C216" s="5"/>
      <c r="D216" s="5"/>
      <c r="E216" s="5"/>
      <c r="F216" s="5"/>
      <c r="G216" s="5"/>
      <c r="H216" s="5"/>
    </row>
    <row r="217" spans="1:8" x14ac:dyDescent="0.2">
      <c r="A217" s="5"/>
      <c r="B217" s="5"/>
      <c r="C217" s="5"/>
      <c r="D217" s="5"/>
      <c r="E217" s="5"/>
      <c r="F217" s="5"/>
      <c r="G217" s="5"/>
      <c r="H217" s="5"/>
    </row>
    <row r="218" spans="1:8" x14ac:dyDescent="0.2">
      <c r="A218" s="5"/>
      <c r="B218" s="5"/>
      <c r="C218" s="5"/>
      <c r="D218" s="5"/>
      <c r="E218" s="5"/>
      <c r="F218" s="5"/>
      <c r="G218" s="5"/>
      <c r="H218" s="5"/>
    </row>
    <row r="219" spans="1:8" x14ac:dyDescent="0.2">
      <c r="A219" s="5"/>
      <c r="B219" s="5"/>
      <c r="C219" s="5"/>
      <c r="D219" s="5"/>
      <c r="E219" s="5"/>
      <c r="F219" s="5"/>
      <c r="G219" s="5"/>
      <c r="H219" s="5"/>
    </row>
    <row r="220" spans="1:8" x14ac:dyDescent="0.2">
      <c r="A220" s="5"/>
      <c r="B220" s="5"/>
      <c r="C220" s="5"/>
      <c r="D220" s="5"/>
      <c r="E220" s="5"/>
      <c r="F220" s="5"/>
      <c r="G220" s="5"/>
      <c r="H220" s="5"/>
    </row>
    <row r="221" spans="1:8" x14ac:dyDescent="0.2">
      <c r="A221" s="5"/>
      <c r="B221" s="5"/>
      <c r="C221" s="5"/>
      <c r="D221" s="5"/>
      <c r="E221" s="5"/>
      <c r="F221" s="5"/>
      <c r="G221" s="5"/>
      <c r="H221" s="5"/>
    </row>
    <row r="222" spans="1:8" x14ac:dyDescent="0.2">
      <c r="A222" s="5"/>
      <c r="B222" s="5"/>
      <c r="C222" s="5"/>
      <c r="D222" s="5"/>
      <c r="E222" s="5"/>
      <c r="F222" s="5"/>
      <c r="G222" s="5"/>
      <c r="H222" s="5"/>
    </row>
    <row r="223" spans="1:8" x14ac:dyDescent="0.2">
      <c r="A223" s="5"/>
      <c r="B223" s="5"/>
      <c r="C223" s="5"/>
      <c r="D223" s="5"/>
      <c r="E223" s="5"/>
      <c r="F223" s="5"/>
      <c r="G223" s="5"/>
      <c r="H223" s="5"/>
    </row>
    <row r="224" spans="1:8" x14ac:dyDescent="0.2">
      <c r="A224" s="5"/>
      <c r="B224" s="5"/>
      <c r="C224" s="5"/>
      <c r="D224" s="5"/>
      <c r="E224" s="5"/>
      <c r="F224" s="5"/>
      <c r="G224" s="5"/>
      <c r="H224" s="5"/>
    </row>
    <row r="225" spans="1:8" x14ac:dyDescent="0.2">
      <c r="A225" s="5"/>
      <c r="B225" s="5"/>
      <c r="C225" s="5"/>
      <c r="D225" s="5"/>
      <c r="E225" s="5"/>
      <c r="F225" s="5"/>
      <c r="G225" s="5"/>
      <c r="H225" s="5"/>
    </row>
    <row r="226" spans="1:8" x14ac:dyDescent="0.2">
      <c r="A226" s="5"/>
      <c r="B226" s="5"/>
      <c r="C226" s="5"/>
      <c r="D226" s="5"/>
      <c r="E226" s="5"/>
      <c r="F226" s="5"/>
      <c r="G226" s="5"/>
      <c r="H226" s="5"/>
    </row>
    <row r="227" spans="1:8" x14ac:dyDescent="0.2">
      <c r="A227" s="5"/>
      <c r="B227" s="5"/>
      <c r="C227" s="5"/>
      <c r="D227" s="5"/>
      <c r="E227" s="5"/>
      <c r="F227" s="5"/>
      <c r="G227" s="5"/>
      <c r="H227" s="5"/>
    </row>
    <row r="228" spans="1:8" x14ac:dyDescent="0.2">
      <c r="A228" s="5"/>
      <c r="B228" s="5"/>
      <c r="C228" s="5"/>
      <c r="D228" s="5"/>
      <c r="E228" s="5"/>
      <c r="F228" s="5"/>
      <c r="G228" s="5"/>
      <c r="H228" s="5"/>
    </row>
    <row r="229" spans="1:8" x14ac:dyDescent="0.2">
      <c r="A229" s="5"/>
      <c r="B229" s="5"/>
      <c r="C229" s="5"/>
      <c r="D229" s="5"/>
      <c r="E229" s="5"/>
      <c r="F229" s="5"/>
      <c r="G229" s="5"/>
      <c r="H229" s="5"/>
    </row>
    <row r="230" spans="1:8" x14ac:dyDescent="0.2">
      <c r="A230" s="5"/>
      <c r="B230" s="5"/>
      <c r="C230" s="5"/>
      <c r="D230" s="5"/>
      <c r="E230" s="5"/>
      <c r="F230" s="5"/>
      <c r="G230" s="5"/>
      <c r="H230" s="5"/>
    </row>
    <row r="231" spans="1:8" x14ac:dyDescent="0.2">
      <c r="A231" s="5"/>
      <c r="B231" s="5"/>
      <c r="C231" s="5"/>
      <c r="D231" s="5"/>
      <c r="E231" s="5"/>
      <c r="F231" s="5"/>
      <c r="G231" s="5"/>
      <c r="H231" s="5"/>
    </row>
    <row r="232" spans="1:8" x14ac:dyDescent="0.2">
      <c r="A232" s="5"/>
      <c r="B232" s="5"/>
      <c r="C232" s="5"/>
      <c r="D232" s="5"/>
      <c r="E232" s="5"/>
      <c r="F232" s="5"/>
      <c r="G232" s="5"/>
      <c r="H232" s="5"/>
    </row>
    <row r="233" spans="1:8" x14ac:dyDescent="0.2">
      <c r="A233" s="5"/>
      <c r="B233" s="5"/>
      <c r="C233" s="5"/>
      <c r="D233" s="5"/>
      <c r="E233" s="5"/>
      <c r="F233" s="5"/>
      <c r="G233" s="5"/>
      <c r="H233" s="5"/>
    </row>
    <row r="234" spans="1:8" x14ac:dyDescent="0.2">
      <c r="A234" s="5"/>
      <c r="B234" s="5"/>
      <c r="C234" s="5"/>
      <c r="D234" s="5"/>
      <c r="E234" s="5"/>
      <c r="F234" s="5"/>
      <c r="G234" s="5"/>
      <c r="H234" s="5"/>
    </row>
    <row r="235" spans="1:8" x14ac:dyDescent="0.2">
      <c r="A235" s="5"/>
      <c r="B235" s="5"/>
      <c r="C235" s="5"/>
      <c r="D235" s="5"/>
      <c r="E235" s="5"/>
      <c r="F235" s="5"/>
      <c r="G235" s="5"/>
      <c r="H235" s="5"/>
    </row>
    <row r="236" spans="1:8" x14ac:dyDescent="0.2">
      <c r="A236" s="5"/>
      <c r="B236" s="5"/>
      <c r="C236" s="5"/>
      <c r="D236" s="5"/>
      <c r="E236" s="5"/>
      <c r="F236" s="5"/>
      <c r="G236" s="5"/>
      <c r="H236" s="5"/>
    </row>
    <row r="237" spans="1:8" x14ac:dyDescent="0.2">
      <c r="A237" s="5"/>
      <c r="B237" s="5"/>
      <c r="C237" s="5"/>
      <c r="D237" s="5"/>
      <c r="E237" s="5"/>
      <c r="F237" s="5"/>
      <c r="G237" s="5"/>
      <c r="H237" s="5"/>
    </row>
    <row r="238" spans="1:8" x14ac:dyDescent="0.2">
      <c r="A238" s="5"/>
      <c r="B238" s="5"/>
      <c r="C238" s="5"/>
      <c r="D238" s="5"/>
      <c r="E238" s="5"/>
      <c r="F238" s="5"/>
      <c r="G238" s="5"/>
      <c r="H238" s="5"/>
    </row>
    <row r="239" spans="1:8" x14ac:dyDescent="0.2">
      <c r="A239" s="5"/>
      <c r="B239" s="5"/>
      <c r="C239" s="5"/>
      <c r="D239" s="5"/>
      <c r="E239" s="5"/>
      <c r="F239" s="5"/>
      <c r="G239" s="5"/>
      <c r="H239" s="5"/>
    </row>
    <row r="240" spans="1:8" x14ac:dyDescent="0.2">
      <c r="A240" s="5"/>
      <c r="B240" s="5"/>
      <c r="C240" s="5"/>
      <c r="D240" s="5"/>
      <c r="E240" s="5"/>
      <c r="F240" s="5"/>
      <c r="G240" s="5"/>
      <c r="H240" s="5"/>
    </row>
    <row r="241" spans="1:8" x14ac:dyDescent="0.2">
      <c r="A241" s="5"/>
      <c r="B241" s="5"/>
      <c r="C241" s="5"/>
      <c r="D241" s="5"/>
      <c r="E241" s="5"/>
      <c r="F241" s="5"/>
      <c r="G241" s="5"/>
      <c r="H241" s="5"/>
    </row>
    <row r="242" spans="1:8" x14ac:dyDescent="0.2">
      <c r="A242" s="5"/>
      <c r="B242" s="5"/>
      <c r="C242" s="5"/>
      <c r="D242" s="5"/>
      <c r="E242" s="5"/>
      <c r="F242" s="5"/>
      <c r="G242" s="5"/>
      <c r="H242" s="5"/>
    </row>
    <row r="243" spans="1:8" x14ac:dyDescent="0.2">
      <c r="A243" s="5"/>
      <c r="B243" s="5"/>
      <c r="C243" s="5"/>
      <c r="D243" s="5"/>
      <c r="E243" s="5"/>
      <c r="F243" s="5"/>
      <c r="G243" s="5"/>
      <c r="H243" s="5"/>
    </row>
    <row r="244" spans="1:8" x14ac:dyDescent="0.2">
      <c r="A244" s="5"/>
      <c r="B244" s="5"/>
      <c r="C244" s="5"/>
      <c r="D244" s="5"/>
      <c r="E244" s="5"/>
      <c r="F244" s="5"/>
      <c r="G244" s="5"/>
      <c r="H244" s="5"/>
    </row>
    <row r="245" spans="1:8" x14ac:dyDescent="0.2">
      <c r="A245" s="5"/>
      <c r="B245" s="5"/>
      <c r="C245" s="5"/>
      <c r="D245" s="5"/>
      <c r="E245" s="5"/>
      <c r="F245" s="5"/>
      <c r="G245" s="5"/>
      <c r="H245" s="5"/>
    </row>
    <row r="246" spans="1:8" x14ac:dyDescent="0.2">
      <c r="A246" s="5"/>
      <c r="B246" s="5"/>
      <c r="C246" s="5"/>
      <c r="D246" s="5"/>
      <c r="E246" s="5"/>
      <c r="F246" s="5"/>
      <c r="G246" s="5"/>
      <c r="H246" s="5"/>
    </row>
    <row r="247" spans="1:8" x14ac:dyDescent="0.2">
      <c r="A247" s="5"/>
      <c r="B247" s="5"/>
      <c r="C247" s="5"/>
      <c r="D247" s="5"/>
      <c r="E247" s="5"/>
      <c r="F247" s="5"/>
      <c r="G247" s="5"/>
      <c r="H247" s="5"/>
    </row>
    <row r="248" spans="1:8" x14ac:dyDescent="0.2">
      <c r="A248" s="5"/>
      <c r="B248" s="5"/>
      <c r="C248" s="5"/>
      <c r="D248" s="5"/>
      <c r="E248" s="5"/>
      <c r="F248" s="5"/>
      <c r="G248" s="5"/>
      <c r="H248" s="5"/>
    </row>
    <row r="249" spans="1:8" x14ac:dyDescent="0.2">
      <c r="A249" s="5"/>
      <c r="B249" s="5"/>
      <c r="C249" s="5"/>
      <c r="D249" s="5"/>
      <c r="E249" s="5"/>
      <c r="F249" s="5"/>
      <c r="G249" s="5"/>
      <c r="H249" s="5"/>
    </row>
    <row r="250" spans="1:8" x14ac:dyDescent="0.2">
      <c r="A250" s="5"/>
      <c r="B250" s="5"/>
      <c r="C250" s="5"/>
      <c r="D250" s="5"/>
      <c r="E250" s="5"/>
      <c r="F250" s="5"/>
      <c r="G250" s="5"/>
      <c r="H250" s="5"/>
    </row>
    <row r="251" spans="1:8" x14ac:dyDescent="0.2">
      <c r="A251" s="5"/>
      <c r="B251" s="5"/>
      <c r="C251" s="5"/>
      <c r="D251" s="5"/>
      <c r="E251" s="5"/>
      <c r="F251" s="5"/>
      <c r="G251" s="5"/>
      <c r="H251" s="5"/>
    </row>
    <row r="252" spans="1:8" x14ac:dyDescent="0.2">
      <c r="A252" s="5"/>
      <c r="B252" s="5"/>
      <c r="C252" s="5"/>
      <c r="D252" s="5"/>
      <c r="E252" s="5"/>
      <c r="F252" s="5"/>
      <c r="G252" s="5"/>
      <c r="H252" s="5"/>
    </row>
    <row r="253" spans="1:8" x14ac:dyDescent="0.2">
      <c r="A253" s="5"/>
      <c r="B253" s="5"/>
      <c r="C253" s="5"/>
      <c r="D253" s="5"/>
      <c r="E253" s="5"/>
      <c r="F253" s="5"/>
      <c r="G253" s="5"/>
      <c r="H253" s="5"/>
    </row>
    <row r="254" spans="1:8" x14ac:dyDescent="0.2">
      <c r="A254" s="5"/>
      <c r="B254" s="5"/>
      <c r="C254" s="5"/>
      <c r="D254" s="5"/>
      <c r="E254" s="5"/>
      <c r="F254" s="5"/>
      <c r="G254" s="5"/>
      <c r="H254" s="5"/>
    </row>
    <row r="255" spans="1:8" x14ac:dyDescent="0.2">
      <c r="A255" s="5"/>
      <c r="B255" s="5"/>
      <c r="C255" s="5"/>
      <c r="D255" s="5"/>
      <c r="E255" s="5"/>
      <c r="F255" s="5"/>
      <c r="G255" s="5"/>
      <c r="H255" s="5"/>
    </row>
    <row r="256" spans="1:8" x14ac:dyDescent="0.2">
      <c r="A256" s="5"/>
      <c r="B256" s="5"/>
      <c r="C256" s="5"/>
      <c r="D256" s="5"/>
      <c r="E256" s="5"/>
      <c r="F256" s="5"/>
      <c r="G256" s="5"/>
      <c r="H256" s="5"/>
    </row>
    <row r="257" spans="1:8" x14ac:dyDescent="0.2">
      <c r="A257" s="5"/>
      <c r="B257" s="5"/>
      <c r="C257" s="5"/>
      <c r="D257" s="5"/>
      <c r="E257" s="5"/>
      <c r="F257" s="5"/>
      <c r="G257" s="5"/>
      <c r="H257" s="5"/>
    </row>
    <row r="258" spans="1:8" x14ac:dyDescent="0.2">
      <c r="A258" s="5"/>
      <c r="B258" s="5"/>
      <c r="C258" s="5"/>
      <c r="D258" s="5"/>
      <c r="E258" s="5"/>
      <c r="F258" s="5"/>
      <c r="G258" s="5"/>
      <c r="H258" s="5"/>
    </row>
    <row r="259" spans="1:8" x14ac:dyDescent="0.2">
      <c r="A259" s="5"/>
      <c r="B259" s="5"/>
      <c r="C259" s="5"/>
      <c r="D259" s="5"/>
      <c r="E259" s="5"/>
      <c r="F259" s="5"/>
      <c r="G259" s="5"/>
      <c r="H259" s="5"/>
    </row>
    <row r="260" spans="1:8" x14ac:dyDescent="0.2">
      <c r="A260" s="5"/>
      <c r="B260" s="5"/>
      <c r="C260" s="5"/>
      <c r="D260" s="5"/>
      <c r="E260" s="5"/>
      <c r="F260" s="5"/>
      <c r="G260" s="5"/>
      <c r="H260" s="5"/>
    </row>
    <row r="261" spans="1:8" x14ac:dyDescent="0.2">
      <c r="A261" s="5"/>
      <c r="B261" s="5"/>
      <c r="C261" s="5"/>
      <c r="D261" s="5"/>
      <c r="E261" s="5"/>
      <c r="F261" s="5"/>
      <c r="G261" s="5"/>
      <c r="H261" s="5"/>
    </row>
    <row r="262" spans="1:8" x14ac:dyDescent="0.2">
      <c r="A262" s="5"/>
      <c r="B262" s="5"/>
      <c r="C262" s="5"/>
      <c r="D262" s="5"/>
      <c r="E262" s="5"/>
      <c r="F262" s="5"/>
      <c r="G262" s="5"/>
      <c r="H262" s="5"/>
    </row>
    <row r="263" spans="1:8" x14ac:dyDescent="0.2">
      <c r="A263" s="5"/>
      <c r="B263" s="5"/>
      <c r="C263" s="5"/>
      <c r="D263" s="5"/>
      <c r="E263" s="5"/>
      <c r="F263" s="5"/>
      <c r="G263" s="5"/>
      <c r="H263" s="5"/>
    </row>
    <row r="264" spans="1:8" x14ac:dyDescent="0.2">
      <c r="A264" s="5"/>
      <c r="B264" s="5"/>
      <c r="C264" s="5"/>
      <c r="D264" s="5"/>
      <c r="E264" s="5"/>
      <c r="F264" s="5"/>
      <c r="G264" s="5"/>
      <c r="H264" s="5"/>
    </row>
    <row r="265" spans="1:8" x14ac:dyDescent="0.2">
      <c r="A265" s="5"/>
      <c r="B265" s="5"/>
      <c r="C265" s="5"/>
      <c r="D265" s="5"/>
      <c r="E265" s="5"/>
      <c r="F265" s="5"/>
      <c r="G265" s="5"/>
      <c r="H265" s="5"/>
    </row>
    <row r="266" spans="1:8" x14ac:dyDescent="0.2">
      <c r="A266" s="5"/>
      <c r="B266" s="5"/>
      <c r="C266" s="5"/>
      <c r="D266" s="5"/>
      <c r="E266" s="5"/>
      <c r="F266" s="5"/>
      <c r="G266" s="5"/>
      <c r="H266" s="5"/>
    </row>
    <row r="267" spans="1:8" x14ac:dyDescent="0.2">
      <c r="A267" s="5"/>
      <c r="B267" s="5"/>
      <c r="C267" s="5"/>
      <c r="D267" s="5"/>
      <c r="E267" s="5"/>
      <c r="F267" s="5"/>
      <c r="G267" s="5"/>
      <c r="H267" s="5"/>
    </row>
    <row r="268" spans="1:8" x14ac:dyDescent="0.2">
      <c r="A268" s="5"/>
      <c r="B268" s="5"/>
      <c r="C268" s="5"/>
      <c r="D268" s="5"/>
      <c r="E268" s="5"/>
      <c r="F268" s="5"/>
      <c r="G268" s="5"/>
      <c r="H268" s="5"/>
    </row>
    <row r="269" spans="1:8" x14ac:dyDescent="0.2">
      <c r="A269" s="5"/>
      <c r="B269" s="5"/>
      <c r="C269" s="5"/>
      <c r="D269" s="5"/>
      <c r="E269" s="5"/>
      <c r="F269" s="5"/>
      <c r="G269" s="5"/>
      <c r="H269" s="5"/>
    </row>
    <row r="270" spans="1:8" x14ac:dyDescent="0.2">
      <c r="A270" s="5"/>
      <c r="B270" s="5"/>
      <c r="C270" s="5"/>
      <c r="D270" s="5"/>
      <c r="E270" s="5"/>
      <c r="F270" s="5"/>
      <c r="G270" s="5"/>
      <c r="H270" s="5"/>
    </row>
    <row r="271" spans="1:8" x14ac:dyDescent="0.2">
      <c r="A271" s="5"/>
      <c r="B271" s="5"/>
      <c r="C271" s="5"/>
      <c r="D271" s="5"/>
      <c r="E271" s="5"/>
      <c r="F271" s="5"/>
      <c r="G271" s="5"/>
      <c r="H271" s="5"/>
    </row>
    <row r="272" spans="1:8" x14ac:dyDescent="0.2">
      <c r="A272" s="5"/>
      <c r="B272" s="5"/>
      <c r="C272" s="5"/>
      <c r="D272" s="5"/>
      <c r="E272" s="5"/>
      <c r="F272" s="5"/>
      <c r="G272" s="5"/>
      <c r="H272" s="5"/>
    </row>
    <row r="273" spans="1:8" x14ac:dyDescent="0.2">
      <c r="A273" s="5"/>
      <c r="B273" s="5"/>
      <c r="C273" s="5"/>
      <c r="D273" s="5"/>
      <c r="E273" s="5"/>
      <c r="F273" s="5"/>
      <c r="G273" s="5"/>
      <c r="H273" s="5"/>
    </row>
    <row r="274" spans="1:8" x14ac:dyDescent="0.2">
      <c r="A274" s="5"/>
      <c r="B274" s="5"/>
      <c r="C274" s="5"/>
      <c r="D274" s="5"/>
      <c r="E274" s="5"/>
      <c r="F274" s="5"/>
      <c r="G274" s="5"/>
      <c r="H274" s="5"/>
    </row>
    <row r="275" spans="1:8" x14ac:dyDescent="0.2">
      <c r="A275" s="5"/>
      <c r="B275" s="5"/>
      <c r="C275" s="5"/>
      <c r="D275" s="5"/>
      <c r="E275" s="5"/>
      <c r="F275" s="5"/>
      <c r="G275" s="5"/>
      <c r="H275" s="5"/>
    </row>
    <row r="276" spans="1:8" x14ac:dyDescent="0.2">
      <c r="A276" s="5"/>
      <c r="B276" s="5"/>
      <c r="C276" s="5"/>
      <c r="D276" s="5"/>
      <c r="E276" s="5"/>
      <c r="F276" s="5"/>
      <c r="G276" s="5"/>
      <c r="H276" s="5"/>
    </row>
    <row r="277" spans="1:8" x14ac:dyDescent="0.2">
      <c r="A277" s="5"/>
      <c r="B277" s="5"/>
      <c r="C277" s="5"/>
      <c r="D277" s="5"/>
      <c r="E277" s="5"/>
      <c r="F277" s="5"/>
      <c r="G277" s="5"/>
      <c r="H277" s="5"/>
    </row>
    <row r="278" spans="1:8" x14ac:dyDescent="0.2">
      <c r="A278" s="5"/>
      <c r="B278" s="5"/>
      <c r="C278" s="5"/>
      <c r="D278" s="5"/>
      <c r="E278" s="5"/>
      <c r="F278" s="5"/>
      <c r="G278" s="5"/>
      <c r="H278" s="5"/>
    </row>
    <row r="279" spans="1:8" x14ac:dyDescent="0.2">
      <c r="A279" s="5"/>
      <c r="B279" s="5"/>
      <c r="C279" s="5"/>
      <c r="D279" s="5"/>
      <c r="E279" s="5"/>
      <c r="F279" s="5"/>
      <c r="G279" s="5"/>
      <c r="H279" s="5"/>
    </row>
    <row r="280" spans="1:8" x14ac:dyDescent="0.2">
      <c r="A280" s="5"/>
      <c r="B280" s="5"/>
      <c r="C280" s="5"/>
      <c r="D280" s="5"/>
      <c r="E280" s="5"/>
      <c r="F280" s="5"/>
      <c r="G280" s="5"/>
      <c r="H280" s="5"/>
    </row>
    <row r="281" spans="1:8" x14ac:dyDescent="0.2">
      <c r="A281" s="5"/>
      <c r="B281" s="5"/>
      <c r="C281" s="5"/>
      <c r="D281" s="5"/>
      <c r="E281" s="5"/>
      <c r="F281" s="5"/>
      <c r="G281" s="5"/>
      <c r="H281" s="5"/>
    </row>
    <row r="282" spans="1:8" x14ac:dyDescent="0.2">
      <c r="A282" s="5"/>
      <c r="B282" s="5"/>
      <c r="C282" s="5"/>
      <c r="D282" s="5"/>
      <c r="E282" s="5"/>
      <c r="F282" s="5"/>
      <c r="G282" s="5"/>
      <c r="H282" s="5"/>
    </row>
    <row r="283" spans="1:8" x14ac:dyDescent="0.2">
      <c r="A283" s="5"/>
      <c r="B283" s="5"/>
      <c r="C283" s="5"/>
      <c r="D283" s="5"/>
      <c r="E283" s="5"/>
      <c r="F283" s="5"/>
      <c r="G283" s="5"/>
      <c r="H283" s="5"/>
    </row>
    <row r="284" spans="1:8" x14ac:dyDescent="0.2">
      <c r="A284" s="5"/>
      <c r="B284" s="5"/>
      <c r="C284" s="5"/>
      <c r="D284" s="5"/>
      <c r="E284" s="5"/>
      <c r="F284" s="5"/>
      <c r="G284" s="5"/>
      <c r="H284" s="5"/>
    </row>
    <row r="285" spans="1:8" x14ac:dyDescent="0.2">
      <c r="A285" s="5"/>
      <c r="B285" s="5"/>
      <c r="C285" s="5"/>
      <c r="D285" s="5"/>
      <c r="E285" s="5"/>
      <c r="F285" s="5"/>
      <c r="G285" s="5"/>
      <c r="H285" s="5"/>
    </row>
    <row r="286" spans="1:8" x14ac:dyDescent="0.2">
      <c r="A286" s="5"/>
      <c r="B286" s="5"/>
      <c r="C286" s="5"/>
      <c r="D286" s="5"/>
      <c r="E286" s="5"/>
      <c r="F286" s="5"/>
      <c r="G286" s="5"/>
      <c r="H286" s="5"/>
    </row>
    <row r="287" spans="1:8" x14ac:dyDescent="0.2">
      <c r="A287" s="5"/>
      <c r="B287" s="5"/>
      <c r="C287" s="5"/>
      <c r="D287" s="5"/>
      <c r="E287" s="5"/>
      <c r="F287" s="5"/>
      <c r="G287" s="5"/>
      <c r="H287" s="5"/>
    </row>
    <row r="288" spans="1:8" x14ac:dyDescent="0.2">
      <c r="A288" s="5"/>
      <c r="B288" s="5"/>
      <c r="C288" s="5"/>
      <c r="D288" s="5"/>
      <c r="E288" s="5"/>
      <c r="F288" s="5"/>
      <c r="G288" s="5"/>
      <c r="H288" s="5"/>
    </row>
    <row r="289" spans="1:8" x14ac:dyDescent="0.2">
      <c r="A289" s="5"/>
      <c r="B289" s="5"/>
      <c r="C289" s="5"/>
      <c r="D289" s="5"/>
      <c r="E289" s="5"/>
      <c r="F289" s="5"/>
      <c r="G289" s="5"/>
      <c r="H289" s="5"/>
    </row>
    <row r="290" spans="1:8" x14ac:dyDescent="0.2">
      <c r="A290" s="5"/>
      <c r="B290" s="5"/>
      <c r="C290" s="5"/>
      <c r="D290" s="5"/>
      <c r="E290" s="5"/>
      <c r="F290" s="5"/>
      <c r="G290" s="5"/>
      <c r="H290" s="5"/>
    </row>
    <row r="291" spans="1:8" x14ac:dyDescent="0.2">
      <c r="A291" s="5"/>
      <c r="B291" s="5"/>
      <c r="C291" s="5"/>
      <c r="D291" s="5"/>
      <c r="E291" s="5"/>
      <c r="F291" s="5"/>
      <c r="G291" s="5"/>
      <c r="H291" s="5"/>
    </row>
    <row r="292" spans="1:8" x14ac:dyDescent="0.2">
      <c r="A292" s="5"/>
      <c r="B292" s="5"/>
      <c r="C292" s="5"/>
      <c r="D292" s="5"/>
      <c r="E292" s="5"/>
      <c r="F292" s="5"/>
      <c r="G292" s="5"/>
      <c r="H292" s="5"/>
    </row>
    <row r="293" spans="1:8" x14ac:dyDescent="0.2">
      <c r="A293" s="5"/>
      <c r="B293" s="5"/>
      <c r="C293" s="5"/>
      <c r="D293" s="5"/>
      <c r="E293" s="5"/>
      <c r="F293" s="5"/>
      <c r="G293" s="5"/>
      <c r="H293" s="5"/>
    </row>
    <row r="294" spans="1:8" x14ac:dyDescent="0.2">
      <c r="A294" s="5"/>
      <c r="B294" s="5"/>
      <c r="C294" s="5"/>
      <c r="D294" s="5"/>
      <c r="E294" s="5"/>
      <c r="F294" s="5"/>
      <c r="G294" s="5"/>
      <c r="H294" s="5"/>
    </row>
    <row r="295" spans="1:8" x14ac:dyDescent="0.2">
      <c r="A295" s="5"/>
      <c r="B295" s="5"/>
      <c r="C295" s="5"/>
      <c r="D295" s="5"/>
      <c r="E295" s="5"/>
      <c r="F295" s="5"/>
      <c r="G295" s="5"/>
      <c r="H295" s="5"/>
    </row>
    <row r="296" spans="1:8" x14ac:dyDescent="0.2">
      <c r="A296" s="5"/>
      <c r="B296" s="5"/>
      <c r="C296" s="5"/>
      <c r="D296" s="5"/>
      <c r="E296" s="5"/>
      <c r="F296" s="5"/>
      <c r="G296" s="5"/>
      <c r="H296" s="5"/>
    </row>
    <row r="297" spans="1:8" x14ac:dyDescent="0.2">
      <c r="A297" s="5"/>
      <c r="B297" s="5"/>
      <c r="C297" s="5"/>
      <c r="D297" s="5"/>
      <c r="E297" s="5"/>
      <c r="F297" s="5"/>
      <c r="G297" s="5"/>
      <c r="H297" s="5"/>
    </row>
    <row r="298" spans="1:8" x14ac:dyDescent="0.2">
      <c r="A298" s="5"/>
      <c r="B298" s="5"/>
      <c r="C298" s="5"/>
      <c r="D298" s="5"/>
      <c r="E298" s="5"/>
      <c r="F298" s="5"/>
      <c r="G298" s="5"/>
      <c r="H298" s="5"/>
    </row>
    <row r="299" spans="1:8" x14ac:dyDescent="0.2">
      <c r="A299" s="5"/>
      <c r="B299" s="5"/>
      <c r="C299" s="5"/>
      <c r="D299" s="5"/>
      <c r="E299" s="5"/>
      <c r="F299" s="5"/>
      <c r="G299" s="5"/>
      <c r="H299" s="5"/>
    </row>
    <row r="300" spans="1:8" x14ac:dyDescent="0.2">
      <c r="A300" s="5"/>
      <c r="B300" s="5"/>
      <c r="C300" s="5"/>
      <c r="D300" s="5"/>
      <c r="E300" s="5"/>
      <c r="F300" s="5"/>
      <c r="G300" s="5"/>
      <c r="H300" s="5"/>
    </row>
  </sheetData>
  <autoFilter ref="A1:H300" xr:uid="{C4A7DB07-6B2F-452B-8F41-F4C216B4AF00}"/>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060AD-ACEA-4A99-A8E3-222E30581A67}">
  <dimension ref="A1:N245"/>
  <sheetViews>
    <sheetView zoomScale="115" zoomScaleNormal="115" workbookViewId="0">
      <selection activeCell="A4" sqref="A4"/>
    </sheetView>
  </sheetViews>
  <sheetFormatPr baseColWidth="10" defaultColWidth="9.1640625" defaultRowHeight="15" x14ac:dyDescent="0.2"/>
  <cols>
    <col min="1" max="1" width="16.5" style="6" customWidth="1"/>
    <col min="2" max="2" width="13.5" style="6" customWidth="1"/>
    <col min="3" max="3" width="15.5" style="6" customWidth="1"/>
    <col min="4" max="4" width="16.1640625" style="6" customWidth="1"/>
    <col min="5" max="6" width="16.5" style="6" customWidth="1"/>
    <col min="7" max="7" width="14.5" style="6" customWidth="1"/>
    <col min="8" max="8" width="16.6640625" style="6" customWidth="1"/>
    <col min="9" max="9" width="14" style="6" customWidth="1"/>
    <col min="10" max="10" width="14.83203125" style="6" customWidth="1"/>
    <col min="11" max="11" width="14.5" style="6" customWidth="1"/>
    <col min="12" max="12" width="24.1640625" style="6" customWidth="1"/>
    <col min="13" max="13" width="15.1640625" style="6" customWidth="1"/>
    <col min="14" max="14" width="23.83203125" style="6" customWidth="1"/>
    <col min="15" max="16384" width="9.1640625" style="6"/>
  </cols>
  <sheetData>
    <row r="1" spans="1:14" ht="17" thickBot="1" x14ac:dyDescent="0.25">
      <c r="A1" s="35" t="s">
        <v>4</v>
      </c>
      <c r="B1" s="53" t="s">
        <v>5</v>
      </c>
      <c r="C1" s="54"/>
      <c r="D1" s="54"/>
      <c r="E1" s="54"/>
      <c r="F1" s="55"/>
      <c r="G1" s="56" t="s">
        <v>6</v>
      </c>
      <c r="H1" s="54"/>
      <c r="I1" s="54"/>
      <c r="J1" s="54"/>
      <c r="K1" s="55"/>
      <c r="L1" s="56" t="s">
        <v>7</v>
      </c>
      <c r="M1" s="54"/>
      <c r="N1" s="57"/>
    </row>
    <row r="2" spans="1:14" ht="13.5" customHeight="1" thickBot="1" x14ac:dyDescent="0.25">
      <c r="A2" s="34" t="s">
        <v>46</v>
      </c>
      <c r="B2" s="26">
        <v>0.1</v>
      </c>
      <c r="C2" s="27">
        <v>0.2</v>
      </c>
      <c r="D2" s="27">
        <v>0.3</v>
      </c>
      <c r="E2" s="27">
        <v>0.4</v>
      </c>
      <c r="F2" s="27">
        <v>0.5</v>
      </c>
      <c r="G2" s="27">
        <v>1.1000000000000001</v>
      </c>
      <c r="H2" s="27">
        <v>1.2</v>
      </c>
      <c r="I2" s="27">
        <v>1.3</v>
      </c>
      <c r="J2" s="27">
        <v>1.4</v>
      </c>
      <c r="K2" s="27">
        <v>1.5</v>
      </c>
      <c r="L2" s="33">
        <v>2.1</v>
      </c>
      <c r="M2" s="27">
        <v>2.2000000000000002</v>
      </c>
      <c r="N2" s="28">
        <v>2.2999999999999998</v>
      </c>
    </row>
    <row r="3" spans="1:14" ht="46" customHeight="1" x14ac:dyDescent="0.2">
      <c r="A3" s="22" t="s">
        <v>8</v>
      </c>
      <c r="B3" s="23" t="s">
        <v>9</v>
      </c>
      <c r="C3" s="24" t="s">
        <v>10</v>
      </c>
      <c r="D3" s="25" t="s">
        <v>11</v>
      </c>
      <c r="E3" s="24" t="s">
        <v>12</v>
      </c>
      <c r="F3" s="24" t="s">
        <v>13</v>
      </c>
      <c r="G3" s="24" t="s">
        <v>14</v>
      </c>
      <c r="H3" s="24" t="s">
        <v>15</v>
      </c>
      <c r="I3" s="24" t="s">
        <v>16</v>
      </c>
      <c r="J3" s="24" t="s">
        <v>17</v>
      </c>
      <c r="K3" s="24" t="s">
        <v>18</v>
      </c>
      <c r="L3" s="24" t="s">
        <v>19</v>
      </c>
      <c r="M3" s="24" t="s">
        <v>47</v>
      </c>
      <c r="N3" s="24" t="s">
        <v>48</v>
      </c>
    </row>
    <row r="4" spans="1:14" x14ac:dyDescent="0.2">
      <c r="A4" s="7">
        <f>'Sheet 2. County Level Data'!A2</f>
        <v>0</v>
      </c>
      <c r="B4" s="29" t="e">
        <f>('Formula Calculations (LOCKED)'!C4*'Sheet 2. County Level Data'!$P$4)</f>
        <v>#DIV/0!</v>
      </c>
      <c r="C4" s="29" t="e">
        <f>'Formula Calculations (LOCKED)'!H4/'Formula Calculations (LOCKED)'!$H$2*'Sheet 2. County Level Data'!$P$4</f>
        <v>#DIV/0!</v>
      </c>
      <c r="D4" s="29" t="e">
        <f>('Formula Calculations (LOCKED)'!L4/'Formula Calculations (LOCKED)'!$L$2)*'Sheet 2. County Level Data'!$P$4</f>
        <v>#DIV/0!</v>
      </c>
      <c r="E4" s="29" t="e">
        <f>('Formula Calculations (LOCKED)'!O4/'Formula Calculations (LOCKED)'!$O$2)*'Sheet 2. County Level Data'!$P$4</f>
        <v>#DIV/0!</v>
      </c>
      <c r="F4" s="29" t="e">
        <f>('Formula Calculations (LOCKED)'!D4/'Formula Calculations (LOCKED)'!$D$2)*'Sheet 2. County Level Data'!$P$4</f>
        <v>#DIV/0!</v>
      </c>
      <c r="G4" s="29" t="e">
        <f>'Sheet 2. County Level Data'!$T$11+(0.5*10000000)*'Formula Calculations (LOCKED)'!H4/'Formula Calculations (LOCKED)'!$H$2</f>
        <v>#DIV/0!</v>
      </c>
      <c r="H4" s="29" t="e">
        <f>(0.5*10000000)*'Formula Calculations (LOCKED)'!H4/'Formula Calculations (LOCKED)'!$H$2+(0.5*10000000)*'Formula Calculations (LOCKED)'!D4/'Formula Calculations (LOCKED)'!$D$2</f>
        <v>#DIV/0!</v>
      </c>
      <c r="I4" s="29" t="e">
        <f>'Sheet 2. County Level Data'!$T$12+(0.3333333333*10000000*('Formula Calculations (LOCKED)'!H4/'Formula Calculations (LOCKED)'!$H$2))+(0.3333333333*10000000*('Formula Calculations (LOCKED)'!D4/'Formula Calculations (LOCKED)'!$D$2))</f>
        <v>#DIV/0!</v>
      </c>
      <c r="J4" s="29" t="e">
        <f>'Sheet 2. County Level Data'!$T$13+(0.25*10000000*('Formula Calculations (LOCKED)'!H4/'Formula Calculations (LOCKED)'!$H$2))+(0.25*10000000*('Formula Calculations (LOCKED)'!D4/'Formula Calculations (LOCKED)'!$D$2))+(0.25*10000000*('Formula Calculations (LOCKED)'!L4/'Formula Calculations (LOCKED)'!$L$2))</f>
        <v>#DIV/0!</v>
      </c>
      <c r="K4" s="29" t="e">
        <f>'Sheet 2. County Level Data'!$T$13+(0.25*10000000*('Formula Calculations (LOCKED)'!H4/'Formula Calculations (LOCKED)'!$H$2))+(0.25*10000000*('Formula Calculations (LOCKED)'!D4/'Formula Calculations (LOCKED)'!$D$2))+(0.25*10000000*('Formula Calculations (LOCKED)'!O4/'Formula Calculations (LOCKED)'!$O$2))</f>
        <v>#DIV/0!</v>
      </c>
      <c r="L4" s="29" t="e">
        <f>IF('Formula Calculations (LOCKED)'!$G4=1,('Sheet 2. County Level Data'!$P$12*('Formula Calculations (LOCKED)'!K4/'Formula Calculations (LOCKED)'!$K$2)),((10000000-'Sheet 2. County Level Data'!$P$12)*'Formula Calculations (LOCKED)'!J4/'Formula Calculations (LOCKED)'!$J$2))</f>
        <v>#DIV/0!</v>
      </c>
      <c r="M4" s="29" t="e">
        <f>IF('Formula Calculations (LOCKED)'!$G4=1,((0.5*'Sheet 2. County Level Data'!$P$12)*('Formula Calculations (LOCKED)'!K4/'Formula Calculations (LOCKED)'!$K$2))+((0.5*'Sheet 2. County Level Data'!$P$12)*('Formula Calculations (LOCKED)'!N4/'Formula Calculations (LOCKED)'!$N$2)),((0.5*(10000000-'Sheet 2. County Level Data'!$P$12))*('Formula Calculations (LOCKED)'!J4/'Formula Calculations (LOCKED)'!$J$2))+((0.5*(10000000-'Sheet 2. County Level Data'!$P$12))*('Formula Calculations (LOCKED)'!M4/'Formula Calculations (LOCKED)'!$M$2)))</f>
        <v>#DIV/0!</v>
      </c>
      <c r="N4" s="29" t="e">
        <f>IF('Formula Calculations (LOCKED)'!$G4=1,((0.5*'Sheet 2. County Level Data'!$P$12)*('Formula Calculations (LOCKED)'!K4/'Formula Calculations (LOCKED)'!$K$2))+((0.5*'Sheet 2. County Level Data'!$P$12)*('Formula Calculations (LOCKED)'!R4/'Formula Calculations (LOCKED)'!$R$2)),((0.5*(10000000-'Sheet 2. County Level Data'!$P$12))*('Formula Calculations (LOCKED)'!J4/'Formula Calculations (LOCKED)'!$J$2))+((0.5*(10000000-'Sheet 2. County Level Data'!$P$12))*('Formula Calculations (LOCKED)'!Q4/'Formula Calculations (LOCKED)'!$Q$2)))</f>
        <v>#DIV/0!</v>
      </c>
    </row>
    <row r="5" spans="1:14" x14ac:dyDescent="0.2">
      <c r="A5" s="7">
        <f>'Sheet 2. County Level Data'!A3</f>
        <v>0</v>
      </c>
      <c r="B5" s="29" t="e">
        <f>('Formula Calculations (LOCKED)'!C5*'Sheet 2. County Level Data'!$P$4)</f>
        <v>#DIV/0!</v>
      </c>
      <c r="C5" s="29" t="e">
        <f>'Formula Calculations (LOCKED)'!H5/'Formula Calculations (LOCKED)'!$H$2*'Sheet 2. County Level Data'!$P$4</f>
        <v>#DIV/0!</v>
      </c>
      <c r="D5" s="29" t="e">
        <f>('Formula Calculations (LOCKED)'!L5/'Formula Calculations (LOCKED)'!$L$2)*'Sheet 2. County Level Data'!$P$4</f>
        <v>#DIV/0!</v>
      </c>
      <c r="E5" s="29" t="e">
        <f>('Formula Calculations (LOCKED)'!O5/'Formula Calculations (LOCKED)'!$O$2)*'Sheet 2. County Level Data'!$P$4</f>
        <v>#DIV/0!</v>
      </c>
      <c r="F5" s="29" t="e">
        <f>('Formula Calculations (LOCKED)'!D5/'Formula Calculations (LOCKED)'!$D$2)*'Sheet 2. County Level Data'!$P$4</f>
        <v>#DIV/0!</v>
      </c>
      <c r="G5" s="29" t="e">
        <f>'Sheet 2. County Level Data'!$T$11+(0.5*10000000)*'Formula Calculations (LOCKED)'!H5/'Formula Calculations (LOCKED)'!$H$2</f>
        <v>#DIV/0!</v>
      </c>
      <c r="H5" s="29" t="e">
        <f>(0.5*10000000)*'Formula Calculations (LOCKED)'!H5/'Formula Calculations (LOCKED)'!$H$2+(0.5*10000000)*'Formula Calculations (LOCKED)'!D5/'Formula Calculations (LOCKED)'!$D$2</f>
        <v>#DIV/0!</v>
      </c>
      <c r="I5" s="29" t="e">
        <f>'Sheet 2. County Level Data'!$T$12+(0.3333333333*10000000*('Formula Calculations (LOCKED)'!H5/'Formula Calculations (LOCKED)'!$H$2))+(0.3333333333*10000000*('Formula Calculations (LOCKED)'!D5/'Formula Calculations (LOCKED)'!$D$2))</f>
        <v>#DIV/0!</v>
      </c>
      <c r="J5" s="29" t="e">
        <f>'Sheet 2. County Level Data'!$T$13+(0.25*10000000*('Formula Calculations (LOCKED)'!H5/'Formula Calculations (LOCKED)'!$H$2))+(0.25*10000000*('Formula Calculations (LOCKED)'!D5/'Formula Calculations (LOCKED)'!$D$2))+(0.25*10000000*('Formula Calculations (LOCKED)'!L5/'Formula Calculations (LOCKED)'!$L$2))</f>
        <v>#DIV/0!</v>
      </c>
      <c r="K5" s="29" t="e">
        <f>'Sheet 2. County Level Data'!$T$13+(0.25*10000000*('Formula Calculations (LOCKED)'!H5/'Formula Calculations (LOCKED)'!$H$2))+(0.25*10000000*('Formula Calculations (LOCKED)'!D5/'Formula Calculations (LOCKED)'!$D$2))+(0.25*10000000*('Formula Calculations (LOCKED)'!O5/'Formula Calculations (LOCKED)'!$O$2))</f>
        <v>#DIV/0!</v>
      </c>
      <c r="L5" s="29" t="e">
        <f>IF('Formula Calculations (LOCKED)'!$G5=1,('Sheet 2. County Level Data'!$P$12*('Formula Calculations (LOCKED)'!K5/'Formula Calculations (LOCKED)'!$K$2)),((10000000-'Sheet 2. County Level Data'!$P$12)*'Formula Calculations (LOCKED)'!J5/'Formula Calculations (LOCKED)'!$J$2))</f>
        <v>#DIV/0!</v>
      </c>
      <c r="M5" s="29" t="e">
        <f>IF('Formula Calculations (LOCKED)'!$G5=1,((0.5*'Sheet 2. County Level Data'!$P$12)*('Formula Calculations (LOCKED)'!K5/'Formula Calculations (LOCKED)'!$K$2))+((0.5*'Sheet 2. County Level Data'!$P$12)*('Formula Calculations (LOCKED)'!N5/'Formula Calculations (LOCKED)'!$N$2)),((0.5*(10000000-'Sheet 2. County Level Data'!$P$12))*('Formula Calculations (LOCKED)'!J5/'Formula Calculations (LOCKED)'!$J$2))+((0.5*(10000000-'Sheet 2. County Level Data'!$P$12))*('Formula Calculations (LOCKED)'!M5/'Formula Calculations (LOCKED)'!$M$2)))</f>
        <v>#DIV/0!</v>
      </c>
      <c r="N5" s="29" t="e">
        <f>IF('Formula Calculations (LOCKED)'!$G5=1,((0.5*'Sheet 2. County Level Data'!$P$12)*('Formula Calculations (LOCKED)'!K5/'Formula Calculations (LOCKED)'!$K$2))+((0.5*'Sheet 2. County Level Data'!$P$12)*('Formula Calculations (LOCKED)'!R5/'Formula Calculations (LOCKED)'!$R$2)),((0.5*(10000000-'Sheet 2. County Level Data'!$P$12))*('Formula Calculations (LOCKED)'!J5/'Formula Calculations (LOCKED)'!$J$2))+((0.5*(10000000-'Sheet 2. County Level Data'!$P$12))*('Formula Calculations (LOCKED)'!Q5/'Formula Calculations (LOCKED)'!$Q$2)))</f>
        <v>#DIV/0!</v>
      </c>
    </row>
    <row r="6" spans="1:14" x14ac:dyDescent="0.2">
      <c r="A6" s="7">
        <f>'Sheet 2. County Level Data'!A4</f>
        <v>0</v>
      </c>
      <c r="B6" s="29" t="e">
        <f>('Formula Calculations (LOCKED)'!C6*'Sheet 2. County Level Data'!$P$4)</f>
        <v>#DIV/0!</v>
      </c>
      <c r="C6" s="29" t="e">
        <f>'Formula Calculations (LOCKED)'!H6/'Formula Calculations (LOCKED)'!$H$2*'Sheet 2. County Level Data'!$P$4</f>
        <v>#DIV/0!</v>
      </c>
      <c r="D6" s="29" t="e">
        <f>('Formula Calculations (LOCKED)'!L6/'Formula Calculations (LOCKED)'!$L$2)*'Sheet 2. County Level Data'!$P$4</f>
        <v>#DIV/0!</v>
      </c>
      <c r="E6" s="29" t="e">
        <f>('Formula Calculations (LOCKED)'!O6/'Formula Calculations (LOCKED)'!$O$2)*'Sheet 2. County Level Data'!$P$4</f>
        <v>#DIV/0!</v>
      </c>
      <c r="F6" s="29" t="e">
        <f>('Formula Calculations (LOCKED)'!D6/'Formula Calculations (LOCKED)'!$D$2)*'Sheet 2. County Level Data'!$P$4</f>
        <v>#DIV/0!</v>
      </c>
      <c r="G6" s="29" t="e">
        <f>'Sheet 2. County Level Data'!$T$11+(0.5*10000000)*'Formula Calculations (LOCKED)'!H6/'Formula Calculations (LOCKED)'!$H$2</f>
        <v>#DIV/0!</v>
      </c>
      <c r="H6" s="29" t="e">
        <f>(0.5*10000000)*'Formula Calculations (LOCKED)'!H6/'Formula Calculations (LOCKED)'!$H$2+(0.5*10000000)*'Formula Calculations (LOCKED)'!D6/'Formula Calculations (LOCKED)'!$D$2</f>
        <v>#DIV/0!</v>
      </c>
      <c r="I6" s="29" t="e">
        <f>'Sheet 2. County Level Data'!$T$12+(0.3333333333*10000000*('Formula Calculations (LOCKED)'!H6/'Formula Calculations (LOCKED)'!$H$2))+(0.3333333333*10000000*('Formula Calculations (LOCKED)'!D6/'Formula Calculations (LOCKED)'!$D$2))</f>
        <v>#DIV/0!</v>
      </c>
      <c r="J6" s="29" t="e">
        <f>'Sheet 2. County Level Data'!$T$13+(0.25*10000000*('Formula Calculations (LOCKED)'!H6/'Formula Calculations (LOCKED)'!$H$2))+(0.25*10000000*('Formula Calculations (LOCKED)'!D6/'Formula Calculations (LOCKED)'!$D$2))+(0.25*10000000*('Formula Calculations (LOCKED)'!L6/'Formula Calculations (LOCKED)'!$L$2))</f>
        <v>#DIV/0!</v>
      </c>
      <c r="K6" s="29" t="e">
        <f>'Sheet 2. County Level Data'!$T$13+(0.25*10000000*('Formula Calculations (LOCKED)'!H6/'Formula Calculations (LOCKED)'!$H$2))+(0.25*10000000*('Formula Calculations (LOCKED)'!D6/'Formula Calculations (LOCKED)'!$D$2))+(0.25*10000000*('Formula Calculations (LOCKED)'!O6/'Formula Calculations (LOCKED)'!$O$2))</f>
        <v>#DIV/0!</v>
      </c>
      <c r="L6" s="29" t="e">
        <f>IF('Formula Calculations (LOCKED)'!$G6=1,('Sheet 2. County Level Data'!$P$12*('Formula Calculations (LOCKED)'!K6/'Formula Calculations (LOCKED)'!$K$2)),((10000000-'Sheet 2. County Level Data'!$P$12)*'Formula Calculations (LOCKED)'!J6/'Formula Calculations (LOCKED)'!$J$2))</f>
        <v>#DIV/0!</v>
      </c>
      <c r="M6" s="29" t="e">
        <f>IF('Formula Calculations (LOCKED)'!$G6=1,((0.5*'Sheet 2. County Level Data'!$P$12)*('Formula Calculations (LOCKED)'!K6/'Formula Calculations (LOCKED)'!$K$2))+((0.5*'Sheet 2. County Level Data'!$P$12)*('Formula Calculations (LOCKED)'!N6/'Formula Calculations (LOCKED)'!$N$2)),((0.5*(10000000-'Sheet 2. County Level Data'!$P$12))*('Formula Calculations (LOCKED)'!J6/'Formula Calculations (LOCKED)'!$J$2))+((0.5*(10000000-'Sheet 2. County Level Data'!$P$12))*('Formula Calculations (LOCKED)'!M6/'Formula Calculations (LOCKED)'!$M$2)))</f>
        <v>#DIV/0!</v>
      </c>
      <c r="N6" s="29" t="e">
        <f>IF('Formula Calculations (LOCKED)'!$G6=1,((0.5*'Sheet 2. County Level Data'!$P$12)*('Formula Calculations (LOCKED)'!K6/'Formula Calculations (LOCKED)'!$K$2))+((0.5*'Sheet 2. County Level Data'!$P$12)*('Formula Calculations (LOCKED)'!R6/'Formula Calculations (LOCKED)'!$R$2)),((0.5*(10000000-'Sheet 2. County Level Data'!$P$12))*('Formula Calculations (LOCKED)'!J6/'Formula Calculations (LOCKED)'!$J$2))+((0.5*(10000000-'Sheet 2. County Level Data'!$P$12))*('Formula Calculations (LOCKED)'!Q6/'Formula Calculations (LOCKED)'!$Q$2)))</f>
        <v>#DIV/0!</v>
      </c>
    </row>
    <row r="7" spans="1:14" x14ac:dyDescent="0.2">
      <c r="A7" s="7">
        <f>'Sheet 2. County Level Data'!A5</f>
        <v>0</v>
      </c>
      <c r="B7" s="29" t="e">
        <f>('Formula Calculations (LOCKED)'!C7*'Sheet 2. County Level Data'!$P$4)</f>
        <v>#DIV/0!</v>
      </c>
      <c r="C7" s="29" t="e">
        <f>'Formula Calculations (LOCKED)'!H7/'Formula Calculations (LOCKED)'!$H$2*'Sheet 2. County Level Data'!$P$4</f>
        <v>#DIV/0!</v>
      </c>
      <c r="D7" s="29" t="e">
        <f>('Formula Calculations (LOCKED)'!L7/'Formula Calculations (LOCKED)'!$L$2)*'Sheet 2. County Level Data'!$P$4</f>
        <v>#DIV/0!</v>
      </c>
      <c r="E7" s="29" t="e">
        <f>('Formula Calculations (LOCKED)'!O7/'Formula Calculations (LOCKED)'!$O$2)*'Sheet 2. County Level Data'!$P$4</f>
        <v>#DIV/0!</v>
      </c>
      <c r="F7" s="29" t="e">
        <f>('Formula Calculations (LOCKED)'!D7/'Formula Calculations (LOCKED)'!$D$2)*'Sheet 2. County Level Data'!$P$4</f>
        <v>#DIV/0!</v>
      </c>
      <c r="G7" s="29" t="e">
        <f>'Sheet 2. County Level Data'!$T$11+(0.5*10000000)*'Formula Calculations (LOCKED)'!H7/'Formula Calculations (LOCKED)'!$H$2</f>
        <v>#DIV/0!</v>
      </c>
      <c r="H7" s="29" t="e">
        <f>(0.5*10000000)*'Formula Calculations (LOCKED)'!H7/'Formula Calculations (LOCKED)'!$H$2+(0.5*10000000)*'Formula Calculations (LOCKED)'!D7/'Formula Calculations (LOCKED)'!$D$2</f>
        <v>#DIV/0!</v>
      </c>
      <c r="I7" s="7" t="e">
        <f>'Sheet 2. County Level Data'!$T$12+(0.3333333333*10000000*('Formula Calculations (LOCKED)'!H7/'Formula Calculations (LOCKED)'!$H$2))+(0.3333333333*10000000*('Formula Calculations (LOCKED)'!D7/'Formula Calculations (LOCKED)'!$D$2))</f>
        <v>#DIV/0!</v>
      </c>
      <c r="J7" s="29" t="e">
        <f>'Sheet 2. County Level Data'!$T$13+(0.25*10000000*('Formula Calculations (LOCKED)'!H7/'Formula Calculations (LOCKED)'!$H$2))+(0.25*10000000*('Formula Calculations (LOCKED)'!D7/'Formula Calculations (LOCKED)'!$D$2))+(0.25*10000000*('Formula Calculations (LOCKED)'!L7/'Formula Calculations (LOCKED)'!$L$2))</f>
        <v>#DIV/0!</v>
      </c>
      <c r="K7" s="29" t="e">
        <f>'Sheet 2. County Level Data'!$T$13+(0.25*10000000*('Formula Calculations (LOCKED)'!H7/'Formula Calculations (LOCKED)'!$H$2))+(0.25*10000000*('Formula Calculations (LOCKED)'!D7/'Formula Calculations (LOCKED)'!$D$2))+(0.25*10000000*('Formula Calculations (LOCKED)'!O7/'Formula Calculations (LOCKED)'!$O$2))</f>
        <v>#DIV/0!</v>
      </c>
      <c r="L7" s="29" t="e">
        <f>IF('Formula Calculations (LOCKED)'!$G7=1,('Sheet 2. County Level Data'!$P$12*('Formula Calculations (LOCKED)'!K7/'Formula Calculations (LOCKED)'!$K$2)),((10000000-'Sheet 2. County Level Data'!$P$12)*'Formula Calculations (LOCKED)'!J7/'Formula Calculations (LOCKED)'!$J$2))</f>
        <v>#DIV/0!</v>
      </c>
      <c r="M7" s="29" t="e">
        <f>IF('Formula Calculations (LOCKED)'!$G7=1,((0.5*'Sheet 2. County Level Data'!$P$12)*('Formula Calculations (LOCKED)'!K7/'Formula Calculations (LOCKED)'!$K$2))+((0.5*'Sheet 2. County Level Data'!$P$12)*('Formula Calculations (LOCKED)'!N7/'Formula Calculations (LOCKED)'!$N$2)),((0.5*(10000000-'Sheet 2. County Level Data'!$P$12))*('Formula Calculations (LOCKED)'!J7/'Formula Calculations (LOCKED)'!$J$2))+((0.5*(10000000-'Sheet 2. County Level Data'!$P$12))*('Formula Calculations (LOCKED)'!M7/'Formula Calculations (LOCKED)'!$M$2)))</f>
        <v>#DIV/0!</v>
      </c>
      <c r="N7" s="29" t="e">
        <f>IF('Formula Calculations (LOCKED)'!$G7=1,((0.5*'Sheet 2. County Level Data'!$P$12)*('Formula Calculations (LOCKED)'!K7/'Formula Calculations (LOCKED)'!$K$2))+((0.5*'Sheet 2. County Level Data'!$P$12)*('Formula Calculations (LOCKED)'!R7/'Formula Calculations (LOCKED)'!$R$2)),((0.5*(10000000-'Sheet 2. County Level Data'!$P$12))*('Formula Calculations (LOCKED)'!J7/'Formula Calculations (LOCKED)'!$J$2))+((0.5*(10000000-'Sheet 2. County Level Data'!$P$12))*('Formula Calculations (LOCKED)'!Q7/'Formula Calculations (LOCKED)'!$Q$2)))</f>
        <v>#DIV/0!</v>
      </c>
    </row>
    <row r="8" spans="1:14" x14ac:dyDescent="0.2">
      <c r="A8" s="7">
        <f>'Sheet 2. County Level Data'!A6</f>
        <v>0</v>
      </c>
      <c r="B8" s="29" t="e">
        <f>('Formula Calculations (LOCKED)'!C8*'Sheet 2. County Level Data'!$P$4)</f>
        <v>#DIV/0!</v>
      </c>
      <c r="C8" s="29" t="e">
        <f>'Formula Calculations (LOCKED)'!H8/'Formula Calculations (LOCKED)'!$H$2*'Sheet 2. County Level Data'!$P$4</f>
        <v>#DIV/0!</v>
      </c>
      <c r="D8" s="29" t="e">
        <f>('Formula Calculations (LOCKED)'!L8/'Formula Calculations (LOCKED)'!$L$2)*'Sheet 2. County Level Data'!$P$4</f>
        <v>#DIV/0!</v>
      </c>
      <c r="E8" s="29" t="e">
        <f>('Formula Calculations (LOCKED)'!O8/'Formula Calculations (LOCKED)'!$O$2)*'Sheet 2. County Level Data'!$P$4</f>
        <v>#DIV/0!</v>
      </c>
      <c r="F8" s="29" t="e">
        <f>('Formula Calculations (LOCKED)'!D8/'Formula Calculations (LOCKED)'!$D$2)*'Sheet 2. County Level Data'!$P$4</f>
        <v>#DIV/0!</v>
      </c>
      <c r="G8" s="29" t="e">
        <f>'Sheet 2. County Level Data'!$T$11+(0.5*10000000)*'Formula Calculations (LOCKED)'!H8/'Formula Calculations (LOCKED)'!$H$2</f>
        <v>#DIV/0!</v>
      </c>
      <c r="H8" s="29" t="e">
        <f>(0.5*10000000)*'Formula Calculations (LOCKED)'!H8/'Formula Calculations (LOCKED)'!$H$2+(0.5*10000000)*'Formula Calculations (LOCKED)'!D8/'Formula Calculations (LOCKED)'!$D$2</f>
        <v>#DIV/0!</v>
      </c>
      <c r="I8" s="7" t="e">
        <f>'Sheet 2. County Level Data'!$T$12+(0.3333333333*10000000*('Formula Calculations (LOCKED)'!H8/'Formula Calculations (LOCKED)'!$H$2))+(0.3333333333*10000000*('Formula Calculations (LOCKED)'!D8/'Formula Calculations (LOCKED)'!$D$2))</f>
        <v>#DIV/0!</v>
      </c>
      <c r="J8" s="29" t="e">
        <f>'Sheet 2. County Level Data'!$T$13+(0.25*10000000*('Formula Calculations (LOCKED)'!H8/'Formula Calculations (LOCKED)'!$H$2))+(0.25*10000000*('Formula Calculations (LOCKED)'!D8/'Formula Calculations (LOCKED)'!$D$2))+(0.25*10000000*('Formula Calculations (LOCKED)'!L8/'Formula Calculations (LOCKED)'!$L$2))</f>
        <v>#DIV/0!</v>
      </c>
      <c r="K8" s="29" t="e">
        <f>'Sheet 2. County Level Data'!$T$13+(0.25*10000000*('Formula Calculations (LOCKED)'!H8/'Formula Calculations (LOCKED)'!$H$2))+(0.25*10000000*('Formula Calculations (LOCKED)'!D8/'Formula Calculations (LOCKED)'!$D$2))+(0.25*10000000*('Formula Calculations (LOCKED)'!O8/'Formula Calculations (LOCKED)'!$O$2))</f>
        <v>#DIV/0!</v>
      </c>
      <c r="L8" s="29" t="e">
        <f>IF('Formula Calculations (LOCKED)'!$G8=1,('Sheet 2. County Level Data'!$P$12*('Formula Calculations (LOCKED)'!K8/'Formula Calculations (LOCKED)'!$K$2)),((10000000-'Sheet 2. County Level Data'!$P$12)*'Formula Calculations (LOCKED)'!J8/'Formula Calculations (LOCKED)'!$J$2))</f>
        <v>#DIV/0!</v>
      </c>
      <c r="M8" s="29" t="e">
        <f>IF('Formula Calculations (LOCKED)'!$G8=1,((0.5*'Sheet 2. County Level Data'!$P$12)*('Formula Calculations (LOCKED)'!K8/'Formula Calculations (LOCKED)'!$K$2))+((0.5*'Sheet 2. County Level Data'!$P$12)*('Formula Calculations (LOCKED)'!N8/'Formula Calculations (LOCKED)'!$N$2)),((0.5*(10000000-'Sheet 2. County Level Data'!$P$12))*('Formula Calculations (LOCKED)'!J8/'Formula Calculations (LOCKED)'!$J$2))+((0.5*(10000000-'Sheet 2. County Level Data'!$P$12))*('Formula Calculations (LOCKED)'!M8/'Formula Calculations (LOCKED)'!$M$2)))</f>
        <v>#DIV/0!</v>
      </c>
      <c r="N8" s="29" t="e">
        <f>IF('Formula Calculations (LOCKED)'!$G8=1,((0.5*'Sheet 2. County Level Data'!$P$12)*('Formula Calculations (LOCKED)'!K8/'Formula Calculations (LOCKED)'!$K$2))+((0.5*'Sheet 2. County Level Data'!$P$12)*('Formula Calculations (LOCKED)'!R8/'Formula Calculations (LOCKED)'!$R$2)),((0.5*(10000000-'Sheet 2. County Level Data'!$P$12))*('Formula Calculations (LOCKED)'!J8/'Formula Calculations (LOCKED)'!$J$2))+((0.5*(10000000-'Sheet 2. County Level Data'!$P$12))*('Formula Calculations (LOCKED)'!Q8/'Formula Calculations (LOCKED)'!$Q$2)))</f>
        <v>#DIV/0!</v>
      </c>
    </row>
    <row r="9" spans="1:14" x14ac:dyDescent="0.2">
      <c r="A9" s="7">
        <f>'Sheet 2. County Level Data'!A7</f>
        <v>0</v>
      </c>
      <c r="B9" s="29" t="e">
        <f>('Formula Calculations (LOCKED)'!C9*'Sheet 2. County Level Data'!$P$4)</f>
        <v>#DIV/0!</v>
      </c>
      <c r="C9" s="29" t="e">
        <f>'Formula Calculations (LOCKED)'!H9/'Formula Calculations (LOCKED)'!$H$2*'Sheet 2. County Level Data'!$P$4</f>
        <v>#DIV/0!</v>
      </c>
      <c r="D9" s="29" t="e">
        <f>('Formula Calculations (LOCKED)'!L9/'Formula Calculations (LOCKED)'!$L$2)*'Sheet 2. County Level Data'!$P$4</f>
        <v>#DIV/0!</v>
      </c>
      <c r="E9" s="29" t="e">
        <f>('Formula Calculations (LOCKED)'!O9/'Formula Calculations (LOCKED)'!$O$2)*'Sheet 2. County Level Data'!$P$4</f>
        <v>#DIV/0!</v>
      </c>
      <c r="F9" s="29" t="e">
        <f>('Formula Calculations (LOCKED)'!D9/'Formula Calculations (LOCKED)'!$D$2)*'Sheet 2. County Level Data'!$P$4</f>
        <v>#DIV/0!</v>
      </c>
      <c r="G9" s="29" t="e">
        <f>'Sheet 2. County Level Data'!$T$11+(0.5*10000000)*'Formula Calculations (LOCKED)'!H9/'Formula Calculations (LOCKED)'!$H$2</f>
        <v>#DIV/0!</v>
      </c>
      <c r="H9" s="29" t="e">
        <f>(0.5*10000000)*'Formula Calculations (LOCKED)'!H9/'Formula Calculations (LOCKED)'!$H$2+(0.5*10000000)*'Formula Calculations (LOCKED)'!D9/'Formula Calculations (LOCKED)'!$D$2</f>
        <v>#DIV/0!</v>
      </c>
      <c r="I9" s="7" t="e">
        <f>'Sheet 2. County Level Data'!$T$12+(0.3333333333*10000000*('Formula Calculations (LOCKED)'!H9/'Formula Calculations (LOCKED)'!$H$2))+(0.3333333333*10000000*('Formula Calculations (LOCKED)'!D9/'Formula Calculations (LOCKED)'!$D$2))</f>
        <v>#DIV/0!</v>
      </c>
      <c r="J9" s="29" t="e">
        <f>'Sheet 2. County Level Data'!$T$13+(0.25*10000000*('Formula Calculations (LOCKED)'!H9/'Formula Calculations (LOCKED)'!$H$2))+(0.25*10000000*('Formula Calculations (LOCKED)'!D9/'Formula Calculations (LOCKED)'!$D$2))+(0.25*10000000*('Formula Calculations (LOCKED)'!L9/'Formula Calculations (LOCKED)'!$L$2))</f>
        <v>#DIV/0!</v>
      </c>
      <c r="K9" s="29" t="e">
        <f>'Sheet 2. County Level Data'!$T$13+(0.25*10000000*('Formula Calculations (LOCKED)'!H9/'Formula Calculations (LOCKED)'!$H$2))+(0.25*10000000*('Formula Calculations (LOCKED)'!D9/'Formula Calculations (LOCKED)'!$D$2))+(0.25*10000000*('Formula Calculations (LOCKED)'!O9/'Formula Calculations (LOCKED)'!$O$2))</f>
        <v>#DIV/0!</v>
      </c>
      <c r="L9" s="29" t="e">
        <f>IF('Formula Calculations (LOCKED)'!$G9=1,('Sheet 2. County Level Data'!$P$12*('Formula Calculations (LOCKED)'!K9/'Formula Calculations (LOCKED)'!$K$2)),((10000000-'Sheet 2. County Level Data'!$P$12)*'Formula Calculations (LOCKED)'!J9/'Formula Calculations (LOCKED)'!$J$2))</f>
        <v>#DIV/0!</v>
      </c>
      <c r="M9" s="29" t="e">
        <f>IF('Formula Calculations (LOCKED)'!$G9=1,((0.5*'Sheet 2. County Level Data'!$P$12)*('Formula Calculations (LOCKED)'!K9/'Formula Calculations (LOCKED)'!$K$2))+((0.5*'Sheet 2. County Level Data'!$P$12)*('Formula Calculations (LOCKED)'!N9/'Formula Calculations (LOCKED)'!$N$2)),((0.5*(10000000-'Sheet 2. County Level Data'!$P$12))*('Formula Calculations (LOCKED)'!J9/'Formula Calculations (LOCKED)'!$J$2))+((0.5*(10000000-'Sheet 2. County Level Data'!$P$12))*('Formula Calculations (LOCKED)'!M9/'Formula Calculations (LOCKED)'!$M$2)))</f>
        <v>#DIV/0!</v>
      </c>
      <c r="N9" s="29" t="e">
        <f>IF('Formula Calculations (LOCKED)'!$G9=1,((0.5*'Sheet 2. County Level Data'!$P$12)*('Formula Calculations (LOCKED)'!K9/'Formula Calculations (LOCKED)'!$K$2))+((0.5*'Sheet 2. County Level Data'!$P$12)*('Formula Calculations (LOCKED)'!R9/'Formula Calculations (LOCKED)'!$R$2)),((0.5*(10000000-'Sheet 2. County Level Data'!$P$12))*('Formula Calculations (LOCKED)'!J9/'Formula Calculations (LOCKED)'!$J$2))+((0.5*(10000000-'Sheet 2. County Level Data'!$P$12))*('Formula Calculations (LOCKED)'!Q9/'Formula Calculations (LOCKED)'!$Q$2)))</f>
        <v>#DIV/0!</v>
      </c>
    </row>
    <row r="10" spans="1:14" x14ac:dyDescent="0.2">
      <c r="A10" s="7">
        <f>'Sheet 2. County Level Data'!A8</f>
        <v>0</v>
      </c>
      <c r="B10" s="29" t="e">
        <f>('Formula Calculations (LOCKED)'!C10*'Sheet 2. County Level Data'!$P$4)</f>
        <v>#DIV/0!</v>
      </c>
      <c r="C10" s="29" t="e">
        <f>'Formula Calculations (LOCKED)'!H10/'Formula Calculations (LOCKED)'!$H$2*'Sheet 2. County Level Data'!$P$4</f>
        <v>#DIV/0!</v>
      </c>
      <c r="D10" s="29" t="e">
        <f>('Formula Calculations (LOCKED)'!L10/'Formula Calculations (LOCKED)'!$L$2)*'Sheet 2. County Level Data'!$P$4</f>
        <v>#DIV/0!</v>
      </c>
      <c r="E10" s="29" t="e">
        <f>('Formula Calculations (LOCKED)'!O10/'Formula Calculations (LOCKED)'!$O$2)*'Sheet 2. County Level Data'!$P$4</f>
        <v>#DIV/0!</v>
      </c>
      <c r="F10" s="29" t="e">
        <f>('Formula Calculations (LOCKED)'!D10/'Formula Calculations (LOCKED)'!$D$2)*'Sheet 2. County Level Data'!$P$4</f>
        <v>#DIV/0!</v>
      </c>
      <c r="G10" s="29" t="e">
        <f>'Sheet 2. County Level Data'!$T$11+(0.5*10000000)*'Formula Calculations (LOCKED)'!H10/'Formula Calculations (LOCKED)'!$H$2</f>
        <v>#DIV/0!</v>
      </c>
      <c r="H10" s="29" t="e">
        <f>(0.5*10000000)*'Formula Calculations (LOCKED)'!H10/'Formula Calculations (LOCKED)'!$H$2+(0.5*10000000)*'Formula Calculations (LOCKED)'!D10/'Formula Calculations (LOCKED)'!$D$2</f>
        <v>#DIV/0!</v>
      </c>
      <c r="I10" s="7" t="e">
        <f>'Sheet 2. County Level Data'!$T$12+(0.3333333333*10000000*('Formula Calculations (LOCKED)'!H10/'Formula Calculations (LOCKED)'!$H$2))+(0.3333333333*10000000*('Formula Calculations (LOCKED)'!D10/'Formula Calculations (LOCKED)'!$D$2))</f>
        <v>#DIV/0!</v>
      </c>
      <c r="J10" s="29" t="e">
        <f>'Sheet 2. County Level Data'!$T$13+(0.25*10000000*('Formula Calculations (LOCKED)'!H10/'Formula Calculations (LOCKED)'!$H$2))+(0.25*10000000*('Formula Calculations (LOCKED)'!D10/'Formula Calculations (LOCKED)'!$D$2))+(0.25*10000000*('Formula Calculations (LOCKED)'!L10/'Formula Calculations (LOCKED)'!$L$2))</f>
        <v>#DIV/0!</v>
      </c>
      <c r="K10" s="29" t="e">
        <f>'Sheet 2. County Level Data'!$T$13+(0.25*10000000*('Formula Calculations (LOCKED)'!H10/'Formula Calculations (LOCKED)'!$H$2))+(0.25*10000000*('Formula Calculations (LOCKED)'!D10/'Formula Calculations (LOCKED)'!$D$2))+(0.25*10000000*('Formula Calculations (LOCKED)'!O10/'Formula Calculations (LOCKED)'!$O$2))</f>
        <v>#DIV/0!</v>
      </c>
      <c r="L10" s="29" t="e">
        <f>IF('Formula Calculations (LOCKED)'!$G10=1,('Sheet 2. County Level Data'!$P$12*('Formula Calculations (LOCKED)'!K10/'Formula Calculations (LOCKED)'!$K$2)),((10000000-'Sheet 2. County Level Data'!$P$12)*'Formula Calculations (LOCKED)'!J10/'Formula Calculations (LOCKED)'!$J$2))</f>
        <v>#DIV/0!</v>
      </c>
      <c r="M10" s="29" t="e">
        <f>IF('Formula Calculations (LOCKED)'!$G10=1,((0.5*'Sheet 2. County Level Data'!$P$12)*('Formula Calculations (LOCKED)'!K10/'Formula Calculations (LOCKED)'!$K$2))+((0.5*'Sheet 2. County Level Data'!$P$12)*('Formula Calculations (LOCKED)'!N10/'Formula Calculations (LOCKED)'!$N$2)),((0.5*(10000000-'Sheet 2. County Level Data'!$P$12))*('Formula Calculations (LOCKED)'!J10/'Formula Calculations (LOCKED)'!$J$2))+((0.5*(10000000-'Sheet 2. County Level Data'!$P$12))*('Formula Calculations (LOCKED)'!M10/'Formula Calculations (LOCKED)'!$M$2)))</f>
        <v>#DIV/0!</v>
      </c>
      <c r="N10" s="29" t="e">
        <f>IF('Formula Calculations (LOCKED)'!$G10=1,((0.5*'Sheet 2. County Level Data'!$P$12)*('Formula Calculations (LOCKED)'!K10/'Formula Calculations (LOCKED)'!$K$2))+((0.5*'Sheet 2. County Level Data'!$P$12)*('Formula Calculations (LOCKED)'!R10/'Formula Calculations (LOCKED)'!$R$2)),((0.5*(10000000-'Sheet 2. County Level Data'!$P$12))*('Formula Calculations (LOCKED)'!J10/'Formula Calculations (LOCKED)'!$J$2))+((0.5*(10000000-'Sheet 2. County Level Data'!$P$12))*('Formula Calculations (LOCKED)'!Q10/'Formula Calculations (LOCKED)'!$Q$2)))</f>
        <v>#DIV/0!</v>
      </c>
    </row>
    <row r="11" spans="1:14" x14ac:dyDescent="0.2">
      <c r="A11" s="7">
        <f>'Sheet 2. County Level Data'!A9</f>
        <v>0</v>
      </c>
      <c r="B11" s="29" t="e">
        <f>('Formula Calculations (LOCKED)'!C11*'Sheet 2. County Level Data'!$P$4)</f>
        <v>#DIV/0!</v>
      </c>
      <c r="C11" s="29" t="e">
        <f>'Formula Calculations (LOCKED)'!H11/'Formula Calculations (LOCKED)'!$H$2*'Sheet 2. County Level Data'!$P$4</f>
        <v>#DIV/0!</v>
      </c>
      <c r="D11" s="29" t="e">
        <f>('Formula Calculations (LOCKED)'!L11/'Formula Calculations (LOCKED)'!$L$2)*'Sheet 2. County Level Data'!$P$4</f>
        <v>#DIV/0!</v>
      </c>
      <c r="E11" s="29" t="e">
        <f>('Formula Calculations (LOCKED)'!O11/'Formula Calculations (LOCKED)'!$O$2)*'Sheet 2. County Level Data'!$P$4</f>
        <v>#DIV/0!</v>
      </c>
      <c r="F11" s="29" t="e">
        <f>('Formula Calculations (LOCKED)'!D11/'Formula Calculations (LOCKED)'!$D$2)*'Sheet 2. County Level Data'!$P$4</f>
        <v>#DIV/0!</v>
      </c>
      <c r="G11" s="29" t="e">
        <f>'Sheet 2. County Level Data'!$T$11+(0.5*10000000)*'Formula Calculations (LOCKED)'!H11/'Formula Calculations (LOCKED)'!$H$2</f>
        <v>#DIV/0!</v>
      </c>
      <c r="H11" s="29" t="e">
        <f>(0.5*10000000)*'Formula Calculations (LOCKED)'!H11/'Formula Calculations (LOCKED)'!$H$2+(0.5*10000000)*'Formula Calculations (LOCKED)'!D11/'Formula Calculations (LOCKED)'!$D$2</f>
        <v>#DIV/0!</v>
      </c>
      <c r="I11" s="7" t="e">
        <f>'Sheet 2. County Level Data'!$T$12+(0.3333333333*10000000*('Formula Calculations (LOCKED)'!H11/'Formula Calculations (LOCKED)'!$H$2))+(0.3333333333*10000000*('Formula Calculations (LOCKED)'!D11/'Formula Calculations (LOCKED)'!$D$2))</f>
        <v>#DIV/0!</v>
      </c>
      <c r="J11" s="29" t="e">
        <f>'Sheet 2. County Level Data'!$T$13+(0.25*10000000*('Formula Calculations (LOCKED)'!H11/'Formula Calculations (LOCKED)'!$H$2))+(0.25*10000000*('Formula Calculations (LOCKED)'!D11/'Formula Calculations (LOCKED)'!$D$2))+(0.25*10000000*('Formula Calculations (LOCKED)'!L11/'Formula Calculations (LOCKED)'!$L$2))</f>
        <v>#DIV/0!</v>
      </c>
      <c r="K11" s="29" t="e">
        <f>'Sheet 2. County Level Data'!$T$13+(0.25*10000000*('Formula Calculations (LOCKED)'!H11/'Formula Calculations (LOCKED)'!$H$2))+(0.25*10000000*('Formula Calculations (LOCKED)'!D11/'Formula Calculations (LOCKED)'!$D$2))+(0.25*10000000*('Formula Calculations (LOCKED)'!O11/'Formula Calculations (LOCKED)'!$O$2))</f>
        <v>#DIV/0!</v>
      </c>
      <c r="L11" s="29" t="e">
        <f>IF('Formula Calculations (LOCKED)'!$G11=1,('Sheet 2. County Level Data'!$P$12*('Formula Calculations (LOCKED)'!K11/'Formula Calculations (LOCKED)'!$K$2)),((10000000-'Sheet 2. County Level Data'!$P$12)*'Formula Calculations (LOCKED)'!J11/'Formula Calculations (LOCKED)'!$J$2))</f>
        <v>#DIV/0!</v>
      </c>
      <c r="M11" s="29" t="e">
        <f>IF('Formula Calculations (LOCKED)'!$G11=1,((0.5*'Sheet 2. County Level Data'!$P$12)*('Formula Calculations (LOCKED)'!K11/'Formula Calculations (LOCKED)'!$K$2))+((0.5*'Sheet 2. County Level Data'!$P$12)*('Formula Calculations (LOCKED)'!N11/'Formula Calculations (LOCKED)'!$N$2)),((0.5*(10000000-'Sheet 2. County Level Data'!$P$12))*('Formula Calculations (LOCKED)'!J11/'Formula Calculations (LOCKED)'!$J$2))+((0.5*(10000000-'Sheet 2. County Level Data'!$P$12))*('Formula Calculations (LOCKED)'!M11/'Formula Calculations (LOCKED)'!$M$2)))</f>
        <v>#DIV/0!</v>
      </c>
      <c r="N11" s="29" t="e">
        <f>IF('Formula Calculations (LOCKED)'!$G11=1,((0.5*'Sheet 2. County Level Data'!$P$12)*('Formula Calculations (LOCKED)'!K11/'Formula Calculations (LOCKED)'!$K$2))+((0.5*'Sheet 2. County Level Data'!$P$12)*('Formula Calculations (LOCKED)'!R11/'Formula Calculations (LOCKED)'!$R$2)),((0.5*(10000000-'Sheet 2. County Level Data'!$P$12))*('Formula Calculations (LOCKED)'!J11/'Formula Calculations (LOCKED)'!$J$2))+((0.5*(10000000-'Sheet 2. County Level Data'!$P$12))*('Formula Calculations (LOCKED)'!Q11/'Formula Calculations (LOCKED)'!$Q$2)))</f>
        <v>#DIV/0!</v>
      </c>
    </row>
    <row r="12" spans="1:14" ht="16" customHeight="1" x14ac:dyDescent="0.2">
      <c r="A12" s="7">
        <f>'Sheet 2. County Level Data'!A10</f>
        <v>0</v>
      </c>
      <c r="B12" s="29" t="e">
        <f>('Formula Calculations (LOCKED)'!C12*'Sheet 2. County Level Data'!$P$4)</f>
        <v>#DIV/0!</v>
      </c>
      <c r="C12" s="29" t="e">
        <f>'Formula Calculations (LOCKED)'!H12/'Formula Calculations (LOCKED)'!$H$2*'Sheet 2. County Level Data'!$P$4</f>
        <v>#DIV/0!</v>
      </c>
      <c r="D12" s="29" t="e">
        <f>('Formula Calculations (LOCKED)'!L12/'Formula Calculations (LOCKED)'!$L$2)*'Sheet 2. County Level Data'!$P$4</f>
        <v>#DIV/0!</v>
      </c>
      <c r="E12" s="29" t="e">
        <f>('Formula Calculations (LOCKED)'!O12/'Formula Calculations (LOCKED)'!$O$2)*'Sheet 2. County Level Data'!$P$4</f>
        <v>#DIV/0!</v>
      </c>
      <c r="F12" s="29" t="e">
        <f>('Formula Calculations (LOCKED)'!D12/'Formula Calculations (LOCKED)'!$D$2)*'Sheet 2. County Level Data'!$P$4</f>
        <v>#DIV/0!</v>
      </c>
      <c r="G12" s="29" t="e">
        <f>'Sheet 2. County Level Data'!$T$11+(0.5*10000000)*'Formula Calculations (LOCKED)'!H12/'Formula Calculations (LOCKED)'!$H$2</f>
        <v>#DIV/0!</v>
      </c>
      <c r="H12" s="29" t="e">
        <f>(0.5*10000000)*'Formula Calculations (LOCKED)'!H12/'Formula Calculations (LOCKED)'!$H$2+(0.5*10000000)*'Formula Calculations (LOCKED)'!D12/'Formula Calculations (LOCKED)'!$D$2</f>
        <v>#DIV/0!</v>
      </c>
      <c r="I12" s="7" t="e">
        <f>'Sheet 2. County Level Data'!$T$12+(0.3333333333*10000000*('Formula Calculations (LOCKED)'!H12/'Formula Calculations (LOCKED)'!$H$2))+(0.3333333333*10000000*('Formula Calculations (LOCKED)'!D12/'Formula Calculations (LOCKED)'!$D$2))</f>
        <v>#DIV/0!</v>
      </c>
      <c r="J12" s="29" t="e">
        <f>'Sheet 2. County Level Data'!$T$13+(0.25*10000000*('Formula Calculations (LOCKED)'!H12/'Formula Calculations (LOCKED)'!$H$2))+(0.25*10000000*('Formula Calculations (LOCKED)'!D12/'Formula Calculations (LOCKED)'!$D$2))+(0.25*10000000*('Formula Calculations (LOCKED)'!L12/'Formula Calculations (LOCKED)'!$L$2))</f>
        <v>#DIV/0!</v>
      </c>
      <c r="K12" s="29" t="e">
        <f>'Sheet 2. County Level Data'!$T$13+(0.25*10000000*('Formula Calculations (LOCKED)'!H12/'Formula Calculations (LOCKED)'!$H$2))+(0.25*10000000*('Formula Calculations (LOCKED)'!D12/'Formula Calculations (LOCKED)'!$D$2))+(0.25*10000000*('Formula Calculations (LOCKED)'!O12/'Formula Calculations (LOCKED)'!$O$2))</f>
        <v>#DIV/0!</v>
      </c>
      <c r="L12" s="29" t="e">
        <f>IF('Formula Calculations (LOCKED)'!$G12=1,('Sheet 2. County Level Data'!$P$12*('Formula Calculations (LOCKED)'!K12/'Formula Calculations (LOCKED)'!$K$2)),((10000000-'Sheet 2. County Level Data'!$P$12)*'Formula Calculations (LOCKED)'!J12/'Formula Calculations (LOCKED)'!$J$2))</f>
        <v>#DIV/0!</v>
      </c>
      <c r="M12" s="29" t="e">
        <f>IF('Formula Calculations (LOCKED)'!$G12=1,((0.5*'Sheet 2. County Level Data'!$P$12)*('Formula Calculations (LOCKED)'!K12/'Formula Calculations (LOCKED)'!$K$2))+((0.5*'Sheet 2. County Level Data'!$P$12)*('Formula Calculations (LOCKED)'!N12/'Formula Calculations (LOCKED)'!$N$2)),((0.5*(10000000-'Sheet 2. County Level Data'!$P$12))*('Formula Calculations (LOCKED)'!J12/'Formula Calculations (LOCKED)'!$J$2))+((0.5*(10000000-'Sheet 2. County Level Data'!$P$12))*('Formula Calculations (LOCKED)'!M12/'Formula Calculations (LOCKED)'!$M$2)))</f>
        <v>#DIV/0!</v>
      </c>
      <c r="N12" s="29" t="e">
        <f>IF('Formula Calculations (LOCKED)'!$G12=1,((0.5*'Sheet 2. County Level Data'!$P$12)*('Formula Calculations (LOCKED)'!K12/'Formula Calculations (LOCKED)'!$K$2))+((0.5*'Sheet 2. County Level Data'!$P$12)*('Formula Calculations (LOCKED)'!R12/'Formula Calculations (LOCKED)'!$R$2)),((0.5*(10000000-'Sheet 2. County Level Data'!$P$12))*('Formula Calculations (LOCKED)'!J12/'Formula Calculations (LOCKED)'!$J$2))+((0.5*(10000000-'Sheet 2. County Level Data'!$P$12))*('Formula Calculations (LOCKED)'!Q12/'Formula Calculations (LOCKED)'!$Q$2)))</f>
        <v>#DIV/0!</v>
      </c>
    </row>
    <row r="13" spans="1:14" x14ac:dyDescent="0.2">
      <c r="A13" s="7">
        <f>'Sheet 2. County Level Data'!A11</f>
        <v>0</v>
      </c>
      <c r="B13" s="29" t="e">
        <f>('Formula Calculations (LOCKED)'!C13*'Sheet 2. County Level Data'!$P$4)</f>
        <v>#DIV/0!</v>
      </c>
      <c r="C13" s="29" t="e">
        <f>'Formula Calculations (LOCKED)'!H13/'Formula Calculations (LOCKED)'!$H$2*'Sheet 2. County Level Data'!$P$4</f>
        <v>#DIV/0!</v>
      </c>
      <c r="D13" s="29" t="e">
        <f>('Formula Calculations (LOCKED)'!L13/'Formula Calculations (LOCKED)'!$L$2)*'Sheet 2. County Level Data'!$P$4</f>
        <v>#DIV/0!</v>
      </c>
      <c r="E13" s="29" t="e">
        <f>('Formula Calculations (LOCKED)'!O13/'Formula Calculations (LOCKED)'!$O$2)*'Sheet 2. County Level Data'!$P$4</f>
        <v>#DIV/0!</v>
      </c>
      <c r="F13" s="29" t="e">
        <f>('Formula Calculations (LOCKED)'!D13/'Formula Calculations (LOCKED)'!$D$2)*'Sheet 2. County Level Data'!$P$4</f>
        <v>#DIV/0!</v>
      </c>
      <c r="G13" s="29" t="e">
        <f>'Sheet 2. County Level Data'!$T$11+(0.5*10000000)*'Formula Calculations (LOCKED)'!H13/'Formula Calculations (LOCKED)'!$H$2</f>
        <v>#DIV/0!</v>
      </c>
      <c r="H13" s="29" t="e">
        <f>(0.5*10000000)*'Formula Calculations (LOCKED)'!H13/'Formula Calculations (LOCKED)'!$H$2+(0.5*10000000)*'Formula Calculations (LOCKED)'!D13/'Formula Calculations (LOCKED)'!$D$2</f>
        <v>#DIV/0!</v>
      </c>
      <c r="I13" s="7" t="e">
        <f>'Sheet 2. County Level Data'!$T$12+(0.3333333333*10000000*('Formula Calculations (LOCKED)'!H13/'Formula Calculations (LOCKED)'!$H$2))+(0.3333333333*10000000*('Formula Calculations (LOCKED)'!D13/'Formula Calculations (LOCKED)'!$D$2))</f>
        <v>#DIV/0!</v>
      </c>
      <c r="J13" s="29" t="e">
        <f>'Sheet 2. County Level Data'!$T$13+(0.25*10000000*('Formula Calculations (LOCKED)'!H13/'Formula Calculations (LOCKED)'!$H$2))+(0.25*10000000*('Formula Calculations (LOCKED)'!D13/'Formula Calculations (LOCKED)'!$D$2))+(0.25*10000000*('Formula Calculations (LOCKED)'!L13/'Formula Calculations (LOCKED)'!$L$2))</f>
        <v>#DIV/0!</v>
      </c>
      <c r="K13" s="29" t="e">
        <f>'Sheet 2. County Level Data'!$T$13+(0.25*10000000*('Formula Calculations (LOCKED)'!H13/'Formula Calculations (LOCKED)'!$H$2))+(0.25*10000000*('Formula Calculations (LOCKED)'!D13/'Formula Calculations (LOCKED)'!$D$2))+(0.25*10000000*('Formula Calculations (LOCKED)'!O13/'Formula Calculations (LOCKED)'!$O$2))</f>
        <v>#DIV/0!</v>
      </c>
      <c r="L13" s="29" t="e">
        <f>IF('Formula Calculations (LOCKED)'!$G13=1,('Sheet 2. County Level Data'!$P$12*('Formula Calculations (LOCKED)'!K13/'Formula Calculations (LOCKED)'!$K$2)),((10000000-'Sheet 2. County Level Data'!$P$12)*'Formula Calculations (LOCKED)'!J13/'Formula Calculations (LOCKED)'!$J$2))</f>
        <v>#DIV/0!</v>
      </c>
      <c r="M13" s="29" t="e">
        <f>IF('Formula Calculations (LOCKED)'!$G13=1,((0.5*'Sheet 2. County Level Data'!$P$12)*('Formula Calculations (LOCKED)'!K13/'Formula Calculations (LOCKED)'!$K$2))+((0.5*'Sheet 2. County Level Data'!$P$12)*('Formula Calculations (LOCKED)'!N13/'Formula Calculations (LOCKED)'!$N$2)),((0.5*(10000000-'Sheet 2. County Level Data'!$P$12))*('Formula Calculations (LOCKED)'!J13/'Formula Calculations (LOCKED)'!$J$2))+((0.5*(10000000-'Sheet 2. County Level Data'!$P$12))*('Formula Calculations (LOCKED)'!M13/'Formula Calculations (LOCKED)'!$M$2)))</f>
        <v>#DIV/0!</v>
      </c>
      <c r="N13" s="29" t="e">
        <f>IF('Formula Calculations (LOCKED)'!$G13=1,((0.5*'Sheet 2. County Level Data'!$P$12)*('Formula Calculations (LOCKED)'!K13/'Formula Calculations (LOCKED)'!$K$2))+((0.5*'Sheet 2. County Level Data'!$P$12)*('Formula Calculations (LOCKED)'!R13/'Formula Calculations (LOCKED)'!$R$2)),((0.5*(10000000-'Sheet 2. County Level Data'!$P$12))*('Formula Calculations (LOCKED)'!J13/'Formula Calculations (LOCKED)'!$J$2))+((0.5*(10000000-'Sheet 2. County Level Data'!$P$12))*('Formula Calculations (LOCKED)'!Q13/'Formula Calculations (LOCKED)'!$Q$2)))</f>
        <v>#DIV/0!</v>
      </c>
    </row>
    <row r="14" spans="1:14" x14ac:dyDescent="0.2">
      <c r="A14" s="7">
        <f>'Sheet 2. County Level Data'!A12</f>
        <v>0</v>
      </c>
      <c r="B14" s="29" t="e">
        <f>('Formula Calculations (LOCKED)'!C14*'Sheet 2. County Level Data'!$P$4)</f>
        <v>#DIV/0!</v>
      </c>
      <c r="C14" s="29" t="e">
        <f>'Formula Calculations (LOCKED)'!H14/'Formula Calculations (LOCKED)'!$H$2*'Sheet 2. County Level Data'!$P$4</f>
        <v>#DIV/0!</v>
      </c>
      <c r="D14" s="29" t="e">
        <f>('Formula Calculations (LOCKED)'!L14/'Formula Calculations (LOCKED)'!$L$2)*'Sheet 2. County Level Data'!$P$4</f>
        <v>#DIV/0!</v>
      </c>
      <c r="E14" s="29" t="e">
        <f>('Formula Calculations (LOCKED)'!O14/'Formula Calculations (LOCKED)'!$O$2)*'Sheet 2. County Level Data'!$P$4</f>
        <v>#DIV/0!</v>
      </c>
      <c r="F14" s="29" t="e">
        <f>('Formula Calculations (LOCKED)'!D14/'Formula Calculations (LOCKED)'!$D$2)*'Sheet 2. County Level Data'!$P$4</f>
        <v>#DIV/0!</v>
      </c>
      <c r="G14" s="29" t="e">
        <f>'Sheet 2. County Level Data'!$T$11+(0.5*10000000)*'Formula Calculations (LOCKED)'!H14/'Formula Calculations (LOCKED)'!$H$2</f>
        <v>#DIV/0!</v>
      </c>
      <c r="H14" s="29" t="e">
        <f>(0.5*10000000)*'Formula Calculations (LOCKED)'!H14/'Formula Calculations (LOCKED)'!$H$2+(0.5*10000000)*'Formula Calculations (LOCKED)'!D14/'Formula Calculations (LOCKED)'!$D$2</f>
        <v>#DIV/0!</v>
      </c>
      <c r="I14" s="7" t="e">
        <f>'Sheet 2. County Level Data'!$T$12+(0.3333333333*10000000*('Formula Calculations (LOCKED)'!H14/'Formula Calculations (LOCKED)'!$H$2))+(0.3333333333*10000000*('Formula Calculations (LOCKED)'!D14/'Formula Calculations (LOCKED)'!$D$2))</f>
        <v>#DIV/0!</v>
      </c>
      <c r="J14" s="29" t="e">
        <f>'Sheet 2. County Level Data'!$T$13+(0.25*10000000*('Formula Calculations (LOCKED)'!H14/'Formula Calculations (LOCKED)'!$H$2))+(0.25*10000000*('Formula Calculations (LOCKED)'!D14/'Formula Calculations (LOCKED)'!$D$2))+(0.25*10000000*('Formula Calculations (LOCKED)'!L14/'Formula Calculations (LOCKED)'!$L$2))</f>
        <v>#DIV/0!</v>
      </c>
      <c r="K14" s="29" t="e">
        <f>'Sheet 2. County Level Data'!$T$13+(0.25*10000000*('Formula Calculations (LOCKED)'!H14/'Formula Calculations (LOCKED)'!$H$2))+(0.25*10000000*('Formula Calculations (LOCKED)'!D14/'Formula Calculations (LOCKED)'!$D$2))+(0.25*10000000*('Formula Calculations (LOCKED)'!O14/'Formula Calculations (LOCKED)'!$O$2))</f>
        <v>#DIV/0!</v>
      </c>
      <c r="L14" s="29" t="e">
        <f>IF('Formula Calculations (LOCKED)'!$G14=1,('Sheet 2. County Level Data'!$P$12*('Formula Calculations (LOCKED)'!K14/'Formula Calculations (LOCKED)'!$K$2)),((10000000-'Sheet 2. County Level Data'!$P$12)*'Formula Calculations (LOCKED)'!J14/'Formula Calculations (LOCKED)'!$J$2))</f>
        <v>#DIV/0!</v>
      </c>
      <c r="M14" s="29" t="e">
        <f>IF('Formula Calculations (LOCKED)'!$G14=1,((0.5*'Sheet 2. County Level Data'!$P$12)*('Formula Calculations (LOCKED)'!K14/'Formula Calculations (LOCKED)'!$K$2))+((0.5*'Sheet 2. County Level Data'!$P$12)*('Formula Calculations (LOCKED)'!N14/'Formula Calculations (LOCKED)'!$N$2)),((0.5*(10000000-'Sheet 2. County Level Data'!$P$12))*('Formula Calculations (LOCKED)'!J14/'Formula Calculations (LOCKED)'!$J$2))+((0.5*(10000000-'Sheet 2. County Level Data'!$P$12))*('Formula Calculations (LOCKED)'!M14/'Formula Calculations (LOCKED)'!$M$2)))</f>
        <v>#DIV/0!</v>
      </c>
      <c r="N14" s="29" t="e">
        <f>IF('Formula Calculations (LOCKED)'!$G14=1,((0.5*'Sheet 2. County Level Data'!$P$12)*('Formula Calculations (LOCKED)'!K14/'Formula Calculations (LOCKED)'!$K$2))+((0.5*'Sheet 2. County Level Data'!$P$12)*('Formula Calculations (LOCKED)'!R14/'Formula Calculations (LOCKED)'!$R$2)),((0.5*(10000000-'Sheet 2. County Level Data'!$P$12))*('Formula Calculations (LOCKED)'!J14/'Formula Calculations (LOCKED)'!$J$2))+((0.5*(10000000-'Sheet 2. County Level Data'!$P$12))*('Formula Calculations (LOCKED)'!Q14/'Formula Calculations (LOCKED)'!$Q$2)))</f>
        <v>#DIV/0!</v>
      </c>
    </row>
    <row r="15" spans="1:14" x14ac:dyDescent="0.2">
      <c r="A15" s="7">
        <f>'Sheet 2. County Level Data'!A13</f>
        <v>0</v>
      </c>
      <c r="B15" s="29" t="e">
        <f>('Formula Calculations (LOCKED)'!C15*'Sheet 2. County Level Data'!$P$4)</f>
        <v>#DIV/0!</v>
      </c>
      <c r="C15" s="29" t="e">
        <f>'Formula Calculations (LOCKED)'!H15/'Formula Calculations (LOCKED)'!$H$2*'Sheet 2. County Level Data'!$P$4</f>
        <v>#DIV/0!</v>
      </c>
      <c r="D15" s="29" t="e">
        <f>('Formula Calculations (LOCKED)'!L15/'Formula Calculations (LOCKED)'!$L$2)*'Sheet 2. County Level Data'!$P$4</f>
        <v>#DIV/0!</v>
      </c>
      <c r="E15" s="29" t="e">
        <f>('Formula Calculations (LOCKED)'!O15/'Formula Calculations (LOCKED)'!$O$2)*'Sheet 2. County Level Data'!$P$4</f>
        <v>#DIV/0!</v>
      </c>
      <c r="F15" s="29" t="e">
        <f>('Formula Calculations (LOCKED)'!D15/'Formula Calculations (LOCKED)'!$D$2)*'Sheet 2. County Level Data'!$P$4</f>
        <v>#DIV/0!</v>
      </c>
      <c r="G15" s="29" t="e">
        <f>'Sheet 2. County Level Data'!$T$11+(0.5*10000000)*'Formula Calculations (LOCKED)'!H15/'Formula Calculations (LOCKED)'!$H$2</f>
        <v>#DIV/0!</v>
      </c>
      <c r="H15" s="29" t="e">
        <f>(0.5*10000000)*'Formula Calculations (LOCKED)'!H15/'Formula Calculations (LOCKED)'!$H$2+(0.5*10000000)*'Formula Calculations (LOCKED)'!D15/'Formula Calculations (LOCKED)'!$D$2</f>
        <v>#DIV/0!</v>
      </c>
      <c r="I15" s="7" t="e">
        <f>'Sheet 2. County Level Data'!$T$12+(0.3333333333*10000000*('Formula Calculations (LOCKED)'!H15/'Formula Calculations (LOCKED)'!$H$2))+(0.3333333333*10000000*('Formula Calculations (LOCKED)'!D15/'Formula Calculations (LOCKED)'!$D$2))</f>
        <v>#DIV/0!</v>
      </c>
      <c r="J15" s="29" t="e">
        <f>'Sheet 2. County Level Data'!$T$13+(0.25*10000000*('Formula Calculations (LOCKED)'!H15/'Formula Calculations (LOCKED)'!$H$2))+(0.25*10000000*('Formula Calculations (LOCKED)'!D15/'Formula Calculations (LOCKED)'!$D$2))+(0.25*10000000*('Formula Calculations (LOCKED)'!L15/'Formula Calculations (LOCKED)'!$L$2))</f>
        <v>#DIV/0!</v>
      </c>
      <c r="K15" s="29" t="e">
        <f>'Sheet 2. County Level Data'!$T$13+(0.25*10000000*('Formula Calculations (LOCKED)'!H15/'Formula Calculations (LOCKED)'!$H$2))+(0.25*10000000*('Formula Calculations (LOCKED)'!D15/'Formula Calculations (LOCKED)'!$D$2))+(0.25*10000000*('Formula Calculations (LOCKED)'!O15/'Formula Calculations (LOCKED)'!$O$2))</f>
        <v>#DIV/0!</v>
      </c>
      <c r="L15" s="29" t="e">
        <f>IF('Formula Calculations (LOCKED)'!$G15=1,('Sheet 2. County Level Data'!$P$12*('Formula Calculations (LOCKED)'!K15/'Formula Calculations (LOCKED)'!$K$2)),((10000000-'Sheet 2. County Level Data'!$P$12)*'Formula Calculations (LOCKED)'!J15/'Formula Calculations (LOCKED)'!$J$2))</f>
        <v>#DIV/0!</v>
      </c>
      <c r="M15" s="29" t="e">
        <f>IF('Formula Calculations (LOCKED)'!$G15=1,((0.5*'Sheet 2. County Level Data'!$P$12)*('Formula Calculations (LOCKED)'!K15/'Formula Calculations (LOCKED)'!$K$2))+((0.5*'Sheet 2. County Level Data'!$P$12)*('Formula Calculations (LOCKED)'!N15/'Formula Calculations (LOCKED)'!$N$2)),((0.5*(10000000-'Sheet 2. County Level Data'!$P$12))*('Formula Calculations (LOCKED)'!J15/'Formula Calculations (LOCKED)'!$J$2))+((0.5*(10000000-'Sheet 2. County Level Data'!$P$12))*('Formula Calculations (LOCKED)'!M15/'Formula Calculations (LOCKED)'!$M$2)))</f>
        <v>#DIV/0!</v>
      </c>
      <c r="N15" s="29" t="e">
        <f>IF('Formula Calculations (LOCKED)'!$G15=1,((0.5*'Sheet 2. County Level Data'!$P$12)*('Formula Calculations (LOCKED)'!K15/'Formula Calculations (LOCKED)'!$K$2))+((0.5*'Sheet 2. County Level Data'!$P$12)*('Formula Calculations (LOCKED)'!R15/'Formula Calculations (LOCKED)'!$R$2)),((0.5*(10000000-'Sheet 2. County Level Data'!$P$12))*('Formula Calculations (LOCKED)'!J15/'Formula Calculations (LOCKED)'!$J$2))+((0.5*(10000000-'Sheet 2. County Level Data'!$P$12))*('Formula Calculations (LOCKED)'!Q15/'Formula Calculations (LOCKED)'!$Q$2)))</f>
        <v>#DIV/0!</v>
      </c>
    </row>
    <row r="16" spans="1:14" x14ac:dyDescent="0.2">
      <c r="A16" s="7">
        <f>'Sheet 2. County Level Data'!A14</f>
        <v>0</v>
      </c>
      <c r="B16" s="29" t="e">
        <f>('Formula Calculations (LOCKED)'!C16*'Sheet 2. County Level Data'!$P$4)</f>
        <v>#DIV/0!</v>
      </c>
      <c r="C16" s="29" t="e">
        <f>'Formula Calculations (LOCKED)'!H16/'Formula Calculations (LOCKED)'!$H$2*'Sheet 2. County Level Data'!$P$4</f>
        <v>#DIV/0!</v>
      </c>
      <c r="D16" s="29" t="e">
        <f>('Formula Calculations (LOCKED)'!L16/'Formula Calculations (LOCKED)'!$L$2)*'Sheet 2. County Level Data'!$P$4</f>
        <v>#DIV/0!</v>
      </c>
      <c r="E16" s="29" t="e">
        <f>('Formula Calculations (LOCKED)'!O16/'Formula Calculations (LOCKED)'!$O$2)*'Sheet 2. County Level Data'!$P$4</f>
        <v>#DIV/0!</v>
      </c>
      <c r="F16" s="29" t="e">
        <f>('Formula Calculations (LOCKED)'!D16/'Formula Calculations (LOCKED)'!$D$2)*'Sheet 2. County Level Data'!$P$4</f>
        <v>#DIV/0!</v>
      </c>
      <c r="G16" s="29" t="e">
        <f>'Sheet 2. County Level Data'!$T$11+(0.5*10000000)*'Formula Calculations (LOCKED)'!H16/'Formula Calculations (LOCKED)'!$H$2</f>
        <v>#DIV/0!</v>
      </c>
      <c r="H16" s="29" t="e">
        <f>(0.5*10000000)*'Formula Calculations (LOCKED)'!H16/'Formula Calculations (LOCKED)'!$H$2+(0.5*10000000)*'Formula Calculations (LOCKED)'!D16/'Formula Calculations (LOCKED)'!$D$2</f>
        <v>#DIV/0!</v>
      </c>
      <c r="I16" s="7" t="e">
        <f>'Sheet 2. County Level Data'!$T$12+(0.3333333333*10000000*('Formula Calculations (LOCKED)'!H16/'Formula Calculations (LOCKED)'!$H$2))+(0.3333333333*10000000*('Formula Calculations (LOCKED)'!D16/'Formula Calculations (LOCKED)'!$D$2))</f>
        <v>#DIV/0!</v>
      </c>
      <c r="J16" s="29" t="e">
        <f>'Sheet 2. County Level Data'!$T$13+(0.25*10000000*('Formula Calculations (LOCKED)'!H16/'Formula Calculations (LOCKED)'!$H$2))+(0.25*10000000*('Formula Calculations (LOCKED)'!D16/'Formula Calculations (LOCKED)'!$D$2))+(0.25*10000000*('Formula Calculations (LOCKED)'!L16/'Formula Calculations (LOCKED)'!$L$2))</f>
        <v>#DIV/0!</v>
      </c>
      <c r="K16" s="29" t="e">
        <f>'Sheet 2. County Level Data'!$T$13+(0.25*10000000*('Formula Calculations (LOCKED)'!H16/'Formula Calculations (LOCKED)'!$H$2))+(0.25*10000000*('Formula Calculations (LOCKED)'!D16/'Formula Calculations (LOCKED)'!$D$2))+(0.25*10000000*('Formula Calculations (LOCKED)'!O16/'Formula Calculations (LOCKED)'!$O$2))</f>
        <v>#DIV/0!</v>
      </c>
      <c r="L16" s="29" t="e">
        <f>IF('Formula Calculations (LOCKED)'!$G16=1,('Sheet 2. County Level Data'!$P$12*('Formula Calculations (LOCKED)'!K16/'Formula Calculations (LOCKED)'!$K$2)),((10000000-'Sheet 2. County Level Data'!$P$12)*'Formula Calculations (LOCKED)'!J16/'Formula Calculations (LOCKED)'!$J$2))</f>
        <v>#DIV/0!</v>
      </c>
      <c r="M16" s="29" t="e">
        <f>IF('Formula Calculations (LOCKED)'!$G16=1,((0.5*'Sheet 2. County Level Data'!$P$12)*('Formula Calculations (LOCKED)'!K16/'Formula Calculations (LOCKED)'!$K$2))+((0.5*'Sheet 2. County Level Data'!$P$12)*('Formula Calculations (LOCKED)'!N16/'Formula Calculations (LOCKED)'!$N$2)),((0.5*(10000000-'Sheet 2. County Level Data'!$P$12))*('Formula Calculations (LOCKED)'!J16/'Formula Calculations (LOCKED)'!$J$2))+((0.5*(10000000-'Sheet 2. County Level Data'!$P$12))*('Formula Calculations (LOCKED)'!M16/'Formula Calculations (LOCKED)'!$M$2)))</f>
        <v>#DIV/0!</v>
      </c>
      <c r="N16" s="29" t="e">
        <f>IF('Formula Calculations (LOCKED)'!$G16=1,((0.5*'Sheet 2. County Level Data'!$P$12)*('Formula Calculations (LOCKED)'!K16/'Formula Calculations (LOCKED)'!$K$2))+((0.5*'Sheet 2. County Level Data'!$P$12)*('Formula Calculations (LOCKED)'!R16/'Formula Calculations (LOCKED)'!$R$2)),((0.5*(10000000-'Sheet 2. County Level Data'!$P$12))*('Formula Calculations (LOCKED)'!J16/'Formula Calculations (LOCKED)'!$J$2))+((0.5*(10000000-'Sheet 2. County Level Data'!$P$12))*('Formula Calculations (LOCKED)'!Q16/'Formula Calculations (LOCKED)'!$Q$2)))</f>
        <v>#DIV/0!</v>
      </c>
    </row>
    <row r="17" spans="1:14" x14ac:dyDescent="0.2">
      <c r="A17" s="7">
        <f>'Sheet 2. County Level Data'!A15</f>
        <v>0</v>
      </c>
      <c r="B17" s="29" t="e">
        <f>('Formula Calculations (LOCKED)'!C17*'Sheet 2. County Level Data'!$P$4)</f>
        <v>#DIV/0!</v>
      </c>
      <c r="C17" s="29" t="e">
        <f>'Formula Calculations (LOCKED)'!H17/'Formula Calculations (LOCKED)'!$H$2*'Sheet 2. County Level Data'!$P$4</f>
        <v>#DIV/0!</v>
      </c>
      <c r="D17" s="29" t="e">
        <f>('Formula Calculations (LOCKED)'!L17/'Formula Calculations (LOCKED)'!$L$2)*'Sheet 2. County Level Data'!$P$4</f>
        <v>#DIV/0!</v>
      </c>
      <c r="E17" s="29" t="e">
        <f>('Formula Calculations (LOCKED)'!O17/'Formula Calculations (LOCKED)'!$O$2)*'Sheet 2. County Level Data'!$P$4</f>
        <v>#DIV/0!</v>
      </c>
      <c r="F17" s="29" t="e">
        <f>('Formula Calculations (LOCKED)'!D17/'Formula Calculations (LOCKED)'!$D$2)*'Sheet 2. County Level Data'!$P$4</f>
        <v>#DIV/0!</v>
      </c>
      <c r="G17" s="29" t="e">
        <f>'Sheet 2. County Level Data'!$T$11+(0.5*10000000)*'Formula Calculations (LOCKED)'!H17/'Formula Calculations (LOCKED)'!$H$2</f>
        <v>#DIV/0!</v>
      </c>
      <c r="H17" s="29" t="e">
        <f>(0.5*10000000)*'Formula Calculations (LOCKED)'!H17/'Formula Calculations (LOCKED)'!$H$2+(0.5*10000000)*'Formula Calculations (LOCKED)'!D17/'Formula Calculations (LOCKED)'!$D$2</f>
        <v>#DIV/0!</v>
      </c>
      <c r="I17" s="7" t="e">
        <f>'Sheet 2. County Level Data'!$T$12+(0.3333333333*10000000*('Formula Calculations (LOCKED)'!H17/'Formula Calculations (LOCKED)'!$H$2))+(0.3333333333*10000000*('Formula Calculations (LOCKED)'!D17/'Formula Calculations (LOCKED)'!$D$2))</f>
        <v>#DIV/0!</v>
      </c>
      <c r="J17" s="29" t="e">
        <f>'Sheet 2. County Level Data'!$T$13+(0.25*10000000*('Formula Calculations (LOCKED)'!H17/'Formula Calculations (LOCKED)'!$H$2))+(0.25*10000000*('Formula Calculations (LOCKED)'!D17/'Formula Calculations (LOCKED)'!$D$2))+(0.25*10000000*('Formula Calculations (LOCKED)'!L17/'Formula Calculations (LOCKED)'!$L$2))</f>
        <v>#DIV/0!</v>
      </c>
      <c r="K17" s="29" t="e">
        <f>'Sheet 2. County Level Data'!$T$13+(0.25*10000000*('Formula Calculations (LOCKED)'!H17/'Formula Calculations (LOCKED)'!$H$2))+(0.25*10000000*('Formula Calculations (LOCKED)'!D17/'Formula Calculations (LOCKED)'!$D$2))+(0.25*10000000*('Formula Calculations (LOCKED)'!O17/'Formula Calculations (LOCKED)'!$O$2))</f>
        <v>#DIV/0!</v>
      </c>
      <c r="L17" s="29" t="e">
        <f>IF('Formula Calculations (LOCKED)'!$G17=1,('Sheet 2. County Level Data'!$P$12*('Formula Calculations (LOCKED)'!K17/'Formula Calculations (LOCKED)'!$K$2)),((10000000-'Sheet 2. County Level Data'!$P$12)*'Formula Calculations (LOCKED)'!J17/'Formula Calculations (LOCKED)'!$J$2))</f>
        <v>#DIV/0!</v>
      </c>
      <c r="M17" s="29" t="e">
        <f>IF('Formula Calculations (LOCKED)'!$G17=1,((0.5*'Sheet 2. County Level Data'!$P$12)*('Formula Calculations (LOCKED)'!K17/'Formula Calculations (LOCKED)'!$K$2))+((0.5*'Sheet 2. County Level Data'!$P$12)*('Formula Calculations (LOCKED)'!N17/'Formula Calculations (LOCKED)'!$N$2)),((0.5*(10000000-'Sheet 2. County Level Data'!$P$12))*('Formula Calculations (LOCKED)'!J17/'Formula Calculations (LOCKED)'!$J$2))+((0.5*(10000000-'Sheet 2. County Level Data'!$P$12))*('Formula Calculations (LOCKED)'!M17/'Formula Calculations (LOCKED)'!$M$2)))</f>
        <v>#DIV/0!</v>
      </c>
      <c r="N17" s="29" t="e">
        <f>IF('Formula Calculations (LOCKED)'!$G17=1,((0.5*'Sheet 2. County Level Data'!$P$12)*('Formula Calculations (LOCKED)'!K17/'Formula Calculations (LOCKED)'!$K$2))+((0.5*'Sheet 2. County Level Data'!$P$12)*('Formula Calculations (LOCKED)'!R17/'Formula Calculations (LOCKED)'!$R$2)),((0.5*(10000000-'Sheet 2. County Level Data'!$P$12))*('Formula Calculations (LOCKED)'!J17/'Formula Calculations (LOCKED)'!$J$2))+((0.5*(10000000-'Sheet 2. County Level Data'!$P$12))*('Formula Calculations (LOCKED)'!Q17/'Formula Calculations (LOCKED)'!$Q$2)))</f>
        <v>#DIV/0!</v>
      </c>
    </row>
    <row r="18" spans="1:14" x14ac:dyDescent="0.2">
      <c r="A18" s="7">
        <f>'Sheet 2. County Level Data'!A16</f>
        <v>0</v>
      </c>
      <c r="B18" s="29" t="e">
        <f>('Formula Calculations (LOCKED)'!C18*'Sheet 2. County Level Data'!$P$4)</f>
        <v>#DIV/0!</v>
      </c>
      <c r="C18" s="29" t="e">
        <f>'Formula Calculations (LOCKED)'!H18/'Formula Calculations (LOCKED)'!$H$2*'Sheet 2. County Level Data'!$P$4</f>
        <v>#DIV/0!</v>
      </c>
      <c r="D18" s="29" t="e">
        <f>('Formula Calculations (LOCKED)'!L18/'Formula Calculations (LOCKED)'!$L$2)*'Sheet 2. County Level Data'!$P$4</f>
        <v>#DIV/0!</v>
      </c>
      <c r="E18" s="29" t="e">
        <f>('Formula Calculations (LOCKED)'!O18/'Formula Calculations (LOCKED)'!$O$2)*'Sheet 2. County Level Data'!$P$4</f>
        <v>#DIV/0!</v>
      </c>
      <c r="F18" s="29" t="e">
        <f>('Formula Calculations (LOCKED)'!D18/'Formula Calculations (LOCKED)'!$D$2)*'Sheet 2. County Level Data'!$P$4</f>
        <v>#DIV/0!</v>
      </c>
      <c r="G18" s="29" t="e">
        <f>'Sheet 2. County Level Data'!$T$11+(0.5*10000000)*'Formula Calculations (LOCKED)'!H18/'Formula Calculations (LOCKED)'!$H$2</f>
        <v>#DIV/0!</v>
      </c>
      <c r="H18" s="29" t="e">
        <f>(0.5*10000000)*'Formula Calculations (LOCKED)'!H18/'Formula Calculations (LOCKED)'!$H$2+(0.5*10000000)*'Formula Calculations (LOCKED)'!D18/'Formula Calculations (LOCKED)'!$D$2</f>
        <v>#DIV/0!</v>
      </c>
      <c r="I18" s="7" t="e">
        <f>'Sheet 2. County Level Data'!$T$12+(0.3333333333*10000000*('Formula Calculations (LOCKED)'!H18/'Formula Calculations (LOCKED)'!$H$2))+(0.3333333333*10000000*('Formula Calculations (LOCKED)'!D18/'Formula Calculations (LOCKED)'!$D$2))</f>
        <v>#DIV/0!</v>
      </c>
      <c r="J18" s="29" t="e">
        <f>'Sheet 2. County Level Data'!$T$13+(0.25*10000000*('Formula Calculations (LOCKED)'!H18/'Formula Calculations (LOCKED)'!$H$2))+(0.25*10000000*('Formula Calculations (LOCKED)'!D18/'Formula Calculations (LOCKED)'!$D$2))+(0.25*10000000*('Formula Calculations (LOCKED)'!L18/'Formula Calculations (LOCKED)'!$L$2))</f>
        <v>#DIV/0!</v>
      </c>
      <c r="K18" s="29" t="e">
        <f>'Sheet 2. County Level Data'!$T$13+(0.25*10000000*('Formula Calculations (LOCKED)'!H18/'Formula Calculations (LOCKED)'!$H$2))+(0.25*10000000*('Formula Calculations (LOCKED)'!D18/'Formula Calculations (LOCKED)'!$D$2))+(0.25*10000000*('Formula Calculations (LOCKED)'!O18/'Formula Calculations (LOCKED)'!$O$2))</f>
        <v>#DIV/0!</v>
      </c>
      <c r="L18" s="29" t="e">
        <f>IF('Formula Calculations (LOCKED)'!$G18=1,('Sheet 2. County Level Data'!$P$12*('Formula Calculations (LOCKED)'!K18/'Formula Calculations (LOCKED)'!$K$2)),((10000000-'Sheet 2. County Level Data'!$P$12)*'Formula Calculations (LOCKED)'!J18/'Formula Calculations (LOCKED)'!$J$2))</f>
        <v>#DIV/0!</v>
      </c>
      <c r="M18" s="29" t="e">
        <f>IF('Formula Calculations (LOCKED)'!$G18=1,((0.5*'Sheet 2. County Level Data'!$P$12)*('Formula Calculations (LOCKED)'!K18/'Formula Calculations (LOCKED)'!$K$2))+((0.5*'Sheet 2. County Level Data'!$P$12)*('Formula Calculations (LOCKED)'!N18/'Formula Calculations (LOCKED)'!$N$2)),((0.5*(10000000-'Sheet 2. County Level Data'!$P$12))*('Formula Calculations (LOCKED)'!J18/'Formula Calculations (LOCKED)'!$J$2))+((0.5*(10000000-'Sheet 2. County Level Data'!$P$12))*('Formula Calculations (LOCKED)'!M18/'Formula Calculations (LOCKED)'!$M$2)))</f>
        <v>#DIV/0!</v>
      </c>
      <c r="N18" s="29" t="e">
        <f>IF('Formula Calculations (LOCKED)'!$G18=1,((0.5*'Sheet 2. County Level Data'!$P$12)*('Formula Calculations (LOCKED)'!K18/'Formula Calculations (LOCKED)'!$K$2))+((0.5*'Sheet 2. County Level Data'!$P$12)*('Formula Calculations (LOCKED)'!R18/'Formula Calculations (LOCKED)'!$R$2)),((0.5*(10000000-'Sheet 2. County Level Data'!$P$12))*('Formula Calculations (LOCKED)'!J18/'Formula Calculations (LOCKED)'!$J$2))+((0.5*(10000000-'Sheet 2. County Level Data'!$P$12))*('Formula Calculations (LOCKED)'!Q18/'Formula Calculations (LOCKED)'!$Q$2)))</f>
        <v>#DIV/0!</v>
      </c>
    </row>
    <row r="19" spans="1:14" x14ac:dyDescent="0.2">
      <c r="A19" s="7">
        <f>'Sheet 2. County Level Data'!A17</f>
        <v>0</v>
      </c>
      <c r="B19" s="29" t="e">
        <f>('Formula Calculations (LOCKED)'!C19*'Sheet 2. County Level Data'!$P$4)</f>
        <v>#DIV/0!</v>
      </c>
      <c r="C19" s="29" t="e">
        <f>'Formula Calculations (LOCKED)'!H19/'Formula Calculations (LOCKED)'!$H$2*'Sheet 2. County Level Data'!$P$4</f>
        <v>#DIV/0!</v>
      </c>
      <c r="D19" s="29" t="e">
        <f>('Formula Calculations (LOCKED)'!L19/'Formula Calculations (LOCKED)'!$L$2)*'Sheet 2. County Level Data'!$P$4</f>
        <v>#DIV/0!</v>
      </c>
      <c r="E19" s="29" t="e">
        <f>('Formula Calculations (LOCKED)'!O19/'Formula Calculations (LOCKED)'!$O$2)*'Sheet 2. County Level Data'!$P$4</f>
        <v>#DIV/0!</v>
      </c>
      <c r="F19" s="29" t="e">
        <f>('Formula Calculations (LOCKED)'!D19/'Formula Calculations (LOCKED)'!$D$2)*'Sheet 2. County Level Data'!$P$4</f>
        <v>#DIV/0!</v>
      </c>
      <c r="G19" s="29" t="e">
        <f>'Sheet 2. County Level Data'!$T$11+(0.5*10000000)*'Formula Calculations (LOCKED)'!H19/'Formula Calculations (LOCKED)'!$H$2</f>
        <v>#DIV/0!</v>
      </c>
      <c r="H19" s="29" t="e">
        <f>(0.5*10000000)*'Formula Calculations (LOCKED)'!H19/'Formula Calculations (LOCKED)'!$H$2+(0.5*10000000)*'Formula Calculations (LOCKED)'!D19/'Formula Calculations (LOCKED)'!$D$2</f>
        <v>#DIV/0!</v>
      </c>
      <c r="I19" s="7" t="e">
        <f>'Sheet 2. County Level Data'!$T$12+(0.3333333333*10000000*('Formula Calculations (LOCKED)'!H19/'Formula Calculations (LOCKED)'!$H$2))+(0.3333333333*10000000*('Formula Calculations (LOCKED)'!D19/'Formula Calculations (LOCKED)'!$D$2))</f>
        <v>#DIV/0!</v>
      </c>
      <c r="J19" s="29" t="e">
        <f>'Sheet 2. County Level Data'!$T$13+(0.25*10000000*('Formula Calculations (LOCKED)'!H19/'Formula Calculations (LOCKED)'!$H$2))+(0.25*10000000*('Formula Calculations (LOCKED)'!D19/'Formula Calculations (LOCKED)'!$D$2))+(0.25*10000000*('Formula Calculations (LOCKED)'!L19/'Formula Calculations (LOCKED)'!$L$2))</f>
        <v>#DIV/0!</v>
      </c>
      <c r="K19" s="29" t="e">
        <f>'Sheet 2. County Level Data'!$T$13+(0.25*10000000*('Formula Calculations (LOCKED)'!H19/'Formula Calculations (LOCKED)'!$H$2))+(0.25*10000000*('Formula Calculations (LOCKED)'!D19/'Formula Calculations (LOCKED)'!$D$2))+(0.25*10000000*('Formula Calculations (LOCKED)'!O19/'Formula Calculations (LOCKED)'!$O$2))</f>
        <v>#DIV/0!</v>
      </c>
      <c r="L19" s="29" t="e">
        <f>IF('Formula Calculations (LOCKED)'!$G19=1,('Sheet 2. County Level Data'!$P$12*('Formula Calculations (LOCKED)'!K19/'Formula Calculations (LOCKED)'!$K$2)),((10000000-'Sheet 2. County Level Data'!$P$12)*'Formula Calculations (LOCKED)'!J19/'Formula Calculations (LOCKED)'!$J$2))</f>
        <v>#DIV/0!</v>
      </c>
      <c r="M19" s="29" t="e">
        <f>IF('Formula Calculations (LOCKED)'!$G19=1,((0.5*'Sheet 2. County Level Data'!$P$12)*('Formula Calculations (LOCKED)'!K19/'Formula Calculations (LOCKED)'!$K$2))+((0.5*'Sheet 2. County Level Data'!$P$12)*('Formula Calculations (LOCKED)'!N19/'Formula Calculations (LOCKED)'!$N$2)),((0.5*(10000000-'Sheet 2. County Level Data'!$P$12))*('Formula Calculations (LOCKED)'!J19/'Formula Calculations (LOCKED)'!$J$2))+((0.5*(10000000-'Sheet 2. County Level Data'!$P$12))*('Formula Calculations (LOCKED)'!M19/'Formula Calculations (LOCKED)'!$M$2)))</f>
        <v>#DIV/0!</v>
      </c>
      <c r="N19" s="29" t="e">
        <f>IF('Formula Calculations (LOCKED)'!$G19=1,((0.5*'Sheet 2. County Level Data'!$P$12)*('Formula Calculations (LOCKED)'!K19/'Formula Calculations (LOCKED)'!$K$2))+((0.5*'Sheet 2. County Level Data'!$P$12)*('Formula Calculations (LOCKED)'!R19/'Formula Calculations (LOCKED)'!$R$2)),((0.5*(10000000-'Sheet 2. County Level Data'!$P$12))*('Formula Calculations (LOCKED)'!J19/'Formula Calculations (LOCKED)'!$J$2))+((0.5*(10000000-'Sheet 2. County Level Data'!$P$12))*('Formula Calculations (LOCKED)'!Q19/'Formula Calculations (LOCKED)'!$Q$2)))</f>
        <v>#DIV/0!</v>
      </c>
    </row>
    <row r="20" spans="1:14" x14ac:dyDescent="0.2">
      <c r="A20" s="7">
        <f>'Sheet 2. County Level Data'!A18</f>
        <v>0</v>
      </c>
      <c r="B20" s="29" t="e">
        <f>('Formula Calculations (LOCKED)'!C20*'Sheet 2. County Level Data'!$P$4)</f>
        <v>#DIV/0!</v>
      </c>
      <c r="C20" s="29" t="e">
        <f>'Formula Calculations (LOCKED)'!H20/'Formula Calculations (LOCKED)'!$H$2*'Sheet 2. County Level Data'!$P$4</f>
        <v>#DIV/0!</v>
      </c>
      <c r="D20" s="29" t="e">
        <f>('Formula Calculations (LOCKED)'!L20/'Formula Calculations (LOCKED)'!$L$2)*'Sheet 2. County Level Data'!$P$4</f>
        <v>#DIV/0!</v>
      </c>
      <c r="E20" s="29" t="e">
        <f>('Formula Calculations (LOCKED)'!O20/'Formula Calculations (LOCKED)'!$O$2)*'Sheet 2. County Level Data'!$P$4</f>
        <v>#DIV/0!</v>
      </c>
      <c r="F20" s="29" t="e">
        <f>('Formula Calculations (LOCKED)'!D20/'Formula Calculations (LOCKED)'!$D$2)*'Sheet 2. County Level Data'!$P$4</f>
        <v>#DIV/0!</v>
      </c>
      <c r="G20" s="29" t="e">
        <f>'Sheet 2. County Level Data'!$T$11+(0.5*10000000)*'Formula Calculations (LOCKED)'!H20/'Formula Calculations (LOCKED)'!$H$2</f>
        <v>#DIV/0!</v>
      </c>
      <c r="H20" s="29" t="e">
        <f>(0.5*10000000)*'Formula Calculations (LOCKED)'!H20/'Formula Calculations (LOCKED)'!$H$2+(0.5*10000000)*'Formula Calculations (LOCKED)'!D20/'Formula Calculations (LOCKED)'!$D$2</f>
        <v>#DIV/0!</v>
      </c>
      <c r="I20" s="7" t="e">
        <f>'Sheet 2. County Level Data'!$T$12+(0.3333333333*10000000*('Formula Calculations (LOCKED)'!H20/'Formula Calculations (LOCKED)'!$H$2))+(0.3333333333*10000000*('Formula Calculations (LOCKED)'!D20/'Formula Calculations (LOCKED)'!$D$2))</f>
        <v>#DIV/0!</v>
      </c>
      <c r="J20" s="29" t="e">
        <f>'Sheet 2. County Level Data'!$T$13+(0.25*10000000*('Formula Calculations (LOCKED)'!H20/'Formula Calculations (LOCKED)'!$H$2))+(0.25*10000000*('Formula Calculations (LOCKED)'!D20/'Formula Calculations (LOCKED)'!$D$2))+(0.25*10000000*('Formula Calculations (LOCKED)'!L20/'Formula Calculations (LOCKED)'!$L$2))</f>
        <v>#DIV/0!</v>
      </c>
      <c r="K20" s="29" t="e">
        <f>'Sheet 2. County Level Data'!$T$13+(0.25*10000000*('Formula Calculations (LOCKED)'!H20/'Formula Calculations (LOCKED)'!$H$2))+(0.25*10000000*('Formula Calculations (LOCKED)'!D20/'Formula Calculations (LOCKED)'!$D$2))+(0.25*10000000*('Formula Calculations (LOCKED)'!O20/'Formula Calculations (LOCKED)'!$O$2))</f>
        <v>#DIV/0!</v>
      </c>
      <c r="L20" s="29" t="e">
        <f>IF('Formula Calculations (LOCKED)'!$G20=1,('Sheet 2. County Level Data'!$P$12*('Formula Calculations (LOCKED)'!K20/'Formula Calculations (LOCKED)'!$K$2)),((10000000-'Sheet 2. County Level Data'!$P$12)*'Formula Calculations (LOCKED)'!J20/'Formula Calculations (LOCKED)'!$J$2))</f>
        <v>#DIV/0!</v>
      </c>
      <c r="M20" s="29" t="e">
        <f>IF('Formula Calculations (LOCKED)'!$G20=1,((0.5*'Sheet 2. County Level Data'!$P$12)*('Formula Calculations (LOCKED)'!K20/'Formula Calculations (LOCKED)'!$K$2))+((0.5*'Sheet 2. County Level Data'!$P$12)*('Formula Calculations (LOCKED)'!N20/'Formula Calculations (LOCKED)'!$N$2)),((0.5*(10000000-'Sheet 2. County Level Data'!$P$12))*('Formula Calculations (LOCKED)'!J20/'Formula Calculations (LOCKED)'!$J$2))+((0.5*(10000000-'Sheet 2. County Level Data'!$P$12))*('Formula Calculations (LOCKED)'!M20/'Formula Calculations (LOCKED)'!$M$2)))</f>
        <v>#DIV/0!</v>
      </c>
      <c r="N20" s="29" t="e">
        <f>IF('Formula Calculations (LOCKED)'!$G20=1,((0.5*'Sheet 2. County Level Data'!$P$12)*('Formula Calculations (LOCKED)'!K20/'Formula Calculations (LOCKED)'!$K$2))+((0.5*'Sheet 2. County Level Data'!$P$12)*('Formula Calculations (LOCKED)'!R20/'Formula Calculations (LOCKED)'!$R$2)),((0.5*(10000000-'Sheet 2. County Level Data'!$P$12))*('Formula Calculations (LOCKED)'!J20/'Formula Calculations (LOCKED)'!$J$2))+((0.5*(10000000-'Sheet 2. County Level Data'!$P$12))*('Formula Calculations (LOCKED)'!Q20/'Formula Calculations (LOCKED)'!$Q$2)))</f>
        <v>#DIV/0!</v>
      </c>
    </row>
    <row r="21" spans="1:14" x14ac:dyDescent="0.2">
      <c r="A21" s="7">
        <f>'Sheet 2. County Level Data'!A19</f>
        <v>0</v>
      </c>
      <c r="B21" s="29" t="e">
        <f>('Formula Calculations (LOCKED)'!C21*'Sheet 2. County Level Data'!$P$4)</f>
        <v>#DIV/0!</v>
      </c>
      <c r="C21" s="29" t="e">
        <f>'Formula Calculations (LOCKED)'!H21/'Formula Calculations (LOCKED)'!$H$2*'Sheet 2. County Level Data'!$P$4</f>
        <v>#DIV/0!</v>
      </c>
      <c r="D21" s="29" t="e">
        <f>('Formula Calculations (LOCKED)'!L21/'Formula Calculations (LOCKED)'!$L$2)*'Sheet 2. County Level Data'!$P$4</f>
        <v>#DIV/0!</v>
      </c>
      <c r="E21" s="29" t="e">
        <f>('Formula Calculations (LOCKED)'!O21/'Formula Calculations (LOCKED)'!$O$2)*'Sheet 2. County Level Data'!$P$4</f>
        <v>#DIV/0!</v>
      </c>
      <c r="F21" s="29" t="e">
        <f>('Formula Calculations (LOCKED)'!D21/'Formula Calculations (LOCKED)'!$D$2)*'Sheet 2. County Level Data'!$P$4</f>
        <v>#DIV/0!</v>
      </c>
      <c r="G21" s="29" t="e">
        <f>'Sheet 2. County Level Data'!$T$11+(0.5*10000000)*'Formula Calculations (LOCKED)'!H21/'Formula Calculations (LOCKED)'!$H$2</f>
        <v>#DIV/0!</v>
      </c>
      <c r="H21" s="29" t="e">
        <f>(0.5*10000000)*'Formula Calculations (LOCKED)'!H21/'Formula Calculations (LOCKED)'!$H$2+(0.5*10000000)*'Formula Calculations (LOCKED)'!D21/'Formula Calculations (LOCKED)'!$D$2</f>
        <v>#DIV/0!</v>
      </c>
      <c r="I21" s="7" t="e">
        <f>'Sheet 2. County Level Data'!$T$12+(0.3333333333*10000000*('Formula Calculations (LOCKED)'!H21/'Formula Calculations (LOCKED)'!$H$2))+(0.3333333333*10000000*('Formula Calculations (LOCKED)'!D21/'Formula Calculations (LOCKED)'!$D$2))</f>
        <v>#DIV/0!</v>
      </c>
      <c r="J21" s="29" t="e">
        <f>'Sheet 2. County Level Data'!$T$13+(0.25*10000000*('Formula Calculations (LOCKED)'!H21/'Formula Calculations (LOCKED)'!$H$2))+(0.25*10000000*('Formula Calculations (LOCKED)'!D21/'Formula Calculations (LOCKED)'!$D$2))+(0.25*10000000*('Formula Calculations (LOCKED)'!L21/'Formula Calculations (LOCKED)'!$L$2))</f>
        <v>#DIV/0!</v>
      </c>
      <c r="K21" s="29" t="e">
        <f>'Sheet 2. County Level Data'!$T$13+(0.25*10000000*('Formula Calculations (LOCKED)'!H21/'Formula Calculations (LOCKED)'!$H$2))+(0.25*10000000*('Formula Calculations (LOCKED)'!D21/'Formula Calculations (LOCKED)'!$D$2))+(0.25*10000000*('Formula Calculations (LOCKED)'!O21/'Formula Calculations (LOCKED)'!$O$2))</f>
        <v>#DIV/0!</v>
      </c>
      <c r="L21" s="29" t="e">
        <f>IF('Formula Calculations (LOCKED)'!$G21=1,('Sheet 2. County Level Data'!$P$12*('Formula Calculations (LOCKED)'!K21/'Formula Calculations (LOCKED)'!$K$2)),((10000000-'Sheet 2. County Level Data'!$P$12)*'Formula Calculations (LOCKED)'!J21/'Formula Calculations (LOCKED)'!$J$2))</f>
        <v>#DIV/0!</v>
      </c>
      <c r="M21" s="29" t="e">
        <f>IF('Formula Calculations (LOCKED)'!$G21=1,((0.5*'Sheet 2. County Level Data'!$P$12)*('Formula Calculations (LOCKED)'!K21/'Formula Calculations (LOCKED)'!$K$2))+((0.5*'Sheet 2. County Level Data'!$P$12)*('Formula Calculations (LOCKED)'!N21/'Formula Calculations (LOCKED)'!$N$2)),((0.5*(10000000-'Sheet 2. County Level Data'!$P$12))*('Formula Calculations (LOCKED)'!J21/'Formula Calculations (LOCKED)'!$J$2))+((0.5*(10000000-'Sheet 2. County Level Data'!$P$12))*('Formula Calculations (LOCKED)'!M21/'Formula Calculations (LOCKED)'!$M$2)))</f>
        <v>#DIV/0!</v>
      </c>
      <c r="N21" s="29" t="e">
        <f>IF('Formula Calculations (LOCKED)'!$G21=1,((0.5*'Sheet 2. County Level Data'!$P$12)*('Formula Calculations (LOCKED)'!K21/'Formula Calculations (LOCKED)'!$K$2))+((0.5*'Sheet 2. County Level Data'!$P$12)*('Formula Calculations (LOCKED)'!R21/'Formula Calculations (LOCKED)'!$R$2)),((0.5*(10000000-'Sheet 2. County Level Data'!$P$12))*('Formula Calculations (LOCKED)'!J21/'Formula Calculations (LOCKED)'!$J$2))+((0.5*(10000000-'Sheet 2. County Level Data'!$P$12))*('Formula Calculations (LOCKED)'!Q21/'Formula Calculations (LOCKED)'!$Q$2)))</f>
        <v>#DIV/0!</v>
      </c>
    </row>
    <row r="22" spans="1:14" x14ac:dyDescent="0.2">
      <c r="A22" s="7">
        <f>'Sheet 2. County Level Data'!A20</f>
        <v>0</v>
      </c>
      <c r="B22" s="29" t="e">
        <f>('Formula Calculations (LOCKED)'!C22*'Sheet 2. County Level Data'!$P$4)</f>
        <v>#DIV/0!</v>
      </c>
      <c r="C22" s="29" t="e">
        <f>'Formula Calculations (LOCKED)'!H22/'Formula Calculations (LOCKED)'!$H$2*'Sheet 2. County Level Data'!$P$4</f>
        <v>#DIV/0!</v>
      </c>
      <c r="D22" s="29" t="e">
        <f>('Formula Calculations (LOCKED)'!L22/'Formula Calculations (LOCKED)'!$L$2)*'Sheet 2. County Level Data'!$P$4</f>
        <v>#DIV/0!</v>
      </c>
      <c r="E22" s="29" t="e">
        <f>('Formula Calculations (LOCKED)'!O22/'Formula Calculations (LOCKED)'!$O$2)*'Sheet 2. County Level Data'!$P$4</f>
        <v>#DIV/0!</v>
      </c>
      <c r="F22" s="29" t="e">
        <f>('Formula Calculations (LOCKED)'!D22/'Formula Calculations (LOCKED)'!$D$2)*'Sheet 2. County Level Data'!$P$4</f>
        <v>#DIV/0!</v>
      </c>
      <c r="G22" s="29" t="e">
        <f>'Sheet 2. County Level Data'!$T$11+(0.5*10000000)*'Formula Calculations (LOCKED)'!H22/'Formula Calculations (LOCKED)'!$H$2</f>
        <v>#DIV/0!</v>
      </c>
      <c r="H22" s="29" t="e">
        <f>(0.5*10000000)*'Formula Calculations (LOCKED)'!H22/'Formula Calculations (LOCKED)'!$H$2+(0.5*10000000)*'Formula Calculations (LOCKED)'!D22/'Formula Calculations (LOCKED)'!$D$2</f>
        <v>#DIV/0!</v>
      </c>
      <c r="I22" s="7" t="e">
        <f>'Sheet 2. County Level Data'!$T$12+(0.3333333333*10000000*('Formula Calculations (LOCKED)'!H22/'Formula Calculations (LOCKED)'!$H$2))+(0.3333333333*10000000*('Formula Calculations (LOCKED)'!D22/'Formula Calculations (LOCKED)'!$D$2))</f>
        <v>#DIV/0!</v>
      </c>
      <c r="J22" s="29" t="e">
        <f>'Sheet 2. County Level Data'!$T$13+(0.25*10000000*('Formula Calculations (LOCKED)'!H22/'Formula Calculations (LOCKED)'!$H$2))+(0.25*10000000*('Formula Calculations (LOCKED)'!D22/'Formula Calculations (LOCKED)'!$D$2))+(0.25*10000000*('Formula Calculations (LOCKED)'!L22/'Formula Calculations (LOCKED)'!$L$2))</f>
        <v>#DIV/0!</v>
      </c>
      <c r="K22" s="29" t="e">
        <f>'Sheet 2. County Level Data'!$T$13+(0.25*10000000*('Formula Calculations (LOCKED)'!H22/'Formula Calculations (LOCKED)'!$H$2))+(0.25*10000000*('Formula Calculations (LOCKED)'!D22/'Formula Calculations (LOCKED)'!$D$2))+(0.25*10000000*('Formula Calculations (LOCKED)'!O22/'Formula Calculations (LOCKED)'!$O$2))</f>
        <v>#DIV/0!</v>
      </c>
      <c r="L22" s="29" t="e">
        <f>IF('Formula Calculations (LOCKED)'!$G22=1,('Sheet 2. County Level Data'!$P$12*('Formula Calculations (LOCKED)'!K22/'Formula Calculations (LOCKED)'!$K$2)),((10000000-'Sheet 2. County Level Data'!$P$12)*'Formula Calculations (LOCKED)'!J22/'Formula Calculations (LOCKED)'!$J$2))</f>
        <v>#DIV/0!</v>
      </c>
      <c r="M22" s="29" t="e">
        <f>IF('Formula Calculations (LOCKED)'!$G22=1,((0.5*'Sheet 2. County Level Data'!$P$12)*('Formula Calculations (LOCKED)'!K22/'Formula Calculations (LOCKED)'!$K$2))+((0.5*'Sheet 2. County Level Data'!$P$12)*('Formula Calculations (LOCKED)'!N22/'Formula Calculations (LOCKED)'!$N$2)),((0.5*(10000000-'Sheet 2. County Level Data'!$P$12))*('Formula Calculations (LOCKED)'!J22/'Formula Calculations (LOCKED)'!$J$2))+((0.5*(10000000-'Sheet 2. County Level Data'!$P$12))*('Formula Calculations (LOCKED)'!M22/'Formula Calculations (LOCKED)'!$M$2)))</f>
        <v>#DIV/0!</v>
      </c>
      <c r="N22" s="29" t="e">
        <f>IF('Formula Calculations (LOCKED)'!$G22=1,((0.5*'Sheet 2. County Level Data'!$P$12)*('Formula Calculations (LOCKED)'!K22/'Formula Calculations (LOCKED)'!$K$2))+((0.5*'Sheet 2. County Level Data'!$P$12)*('Formula Calculations (LOCKED)'!R22/'Formula Calculations (LOCKED)'!$R$2)),((0.5*(10000000-'Sheet 2. County Level Data'!$P$12))*('Formula Calculations (LOCKED)'!J22/'Formula Calculations (LOCKED)'!$J$2))+((0.5*(10000000-'Sheet 2. County Level Data'!$P$12))*('Formula Calculations (LOCKED)'!Q22/'Formula Calculations (LOCKED)'!$Q$2)))</f>
        <v>#DIV/0!</v>
      </c>
    </row>
    <row r="23" spans="1:14" x14ac:dyDescent="0.2">
      <c r="A23" s="7">
        <f>'Sheet 2. County Level Data'!A21</f>
        <v>0</v>
      </c>
      <c r="B23" s="29" t="e">
        <f>('Formula Calculations (LOCKED)'!C23*'Sheet 2. County Level Data'!$P$4)</f>
        <v>#DIV/0!</v>
      </c>
      <c r="C23" s="29" t="e">
        <f>'Formula Calculations (LOCKED)'!H23/'Formula Calculations (LOCKED)'!$H$2*'Sheet 2. County Level Data'!$P$4</f>
        <v>#DIV/0!</v>
      </c>
      <c r="D23" s="29" t="e">
        <f>('Formula Calculations (LOCKED)'!L23/'Formula Calculations (LOCKED)'!$L$2)*'Sheet 2. County Level Data'!$P$4</f>
        <v>#DIV/0!</v>
      </c>
      <c r="E23" s="29" t="e">
        <f>('Formula Calculations (LOCKED)'!O23/'Formula Calculations (LOCKED)'!$O$2)*'Sheet 2. County Level Data'!$P$4</f>
        <v>#DIV/0!</v>
      </c>
      <c r="F23" s="29" t="e">
        <f>('Formula Calculations (LOCKED)'!D23/'Formula Calculations (LOCKED)'!$D$2)*'Sheet 2. County Level Data'!$P$4</f>
        <v>#DIV/0!</v>
      </c>
      <c r="G23" s="29" t="e">
        <f>'Sheet 2. County Level Data'!$T$11+(0.5*10000000)*'Formula Calculations (LOCKED)'!H23/'Formula Calculations (LOCKED)'!$H$2</f>
        <v>#DIV/0!</v>
      </c>
      <c r="H23" s="29" t="e">
        <f>(0.5*10000000)*'Formula Calculations (LOCKED)'!H23/'Formula Calculations (LOCKED)'!$H$2+(0.5*10000000)*'Formula Calculations (LOCKED)'!D23/'Formula Calculations (LOCKED)'!$D$2</f>
        <v>#DIV/0!</v>
      </c>
      <c r="I23" s="7" t="e">
        <f>'Sheet 2. County Level Data'!$T$12+(0.3333333333*10000000*('Formula Calculations (LOCKED)'!H23/'Formula Calculations (LOCKED)'!$H$2))+(0.3333333333*10000000*('Formula Calculations (LOCKED)'!D23/'Formula Calculations (LOCKED)'!$D$2))</f>
        <v>#DIV/0!</v>
      </c>
      <c r="J23" s="29" t="e">
        <f>'Sheet 2. County Level Data'!$T$13+(0.25*10000000*('Formula Calculations (LOCKED)'!H23/'Formula Calculations (LOCKED)'!$H$2))+(0.25*10000000*('Formula Calculations (LOCKED)'!D23/'Formula Calculations (LOCKED)'!$D$2))+(0.25*10000000*('Formula Calculations (LOCKED)'!L23/'Formula Calculations (LOCKED)'!$L$2))</f>
        <v>#DIV/0!</v>
      </c>
      <c r="K23" s="29" t="e">
        <f>'Sheet 2. County Level Data'!$T$13+(0.25*10000000*('Formula Calculations (LOCKED)'!H23/'Formula Calculations (LOCKED)'!$H$2))+(0.25*10000000*('Formula Calculations (LOCKED)'!D23/'Formula Calculations (LOCKED)'!$D$2))+(0.25*10000000*('Formula Calculations (LOCKED)'!O23/'Formula Calculations (LOCKED)'!$O$2))</f>
        <v>#DIV/0!</v>
      </c>
      <c r="L23" s="29" t="e">
        <f>IF('Formula Calculations (LOCKED)'!$G23=1,('Sheet 2. County Level Data'!$P$12*('Formula Calculations (LOCKED)'!K23/'Formula Calculations (LOCKED)'!$K$2)),((10000000-'Sheet 2. County Level Data'!$P$12)*'Formula Calculations (LOCKED)'!J23/'Formula Calculations (LOCKED)'!$J$2))</f>
        <v>#DIV/0!</v>
      </c>
      <c r="M23" s="29" t="e">
        <f>IF('Formula Calculations (LOCKED)'!$G23=1,((0.5*'Sheet 2. County Level Data'!$P$12)*('Formula Calculations (LOCKED)'!K23/'Formula Calculations (LOCKED)'!$K$2))+((0.5*'Sheet 2. County Level Data'!$P$12)*('Formula Calculations (LOCKED)'!N23/'Formula Calculations (LOCKED)'!$N$2)),((0.5*(10000000-'Sheet 2. County Level Data'!$P$12))*('Formula Calculations (LOCKED)'!J23/'Formula Calculations (LOCKED)'!$J$2))+((0.5*(10000000-'Sheet 2. County Level Data'!$P$12))*('Formula Calculations (LOCKED)'!M23/'Formula Calculations (LOCKED)'!$M$2)))</f>
        <v>#DIV/0!</v>
      </c>
      <c r="N23" s="29" t="e">
        <f>IF('Formula Calculations (LOCKED)'!$G23=1,((0.5*'Sheet 2. County Level Data'!$P$12)*('Formula Calculations (LOCKED)'!K23/'Formula Calculations (LOCKED)'!$K$2))+((0.5*'Sheet 2. County Level Data'!$P$12)*('Formula Calculations (LOCKED)'!R23/'Formula Calculations (LOCKED)'!$R$2)),((0.5*(10000000-'Sheet 2. County Level Data'!$P$12))*('Formula Calculations (LOCKED)'!J23/'Formula Calculations (LOCKED)'!$J$2))+((0.5*(10000000-'Sheet 2. County Level Data'!$P$12))*('Formula Calculations (LOCKED)'!Q23/'Formula Calculations (LOCKED)'!$Q$2)))</f>
        <v>#DIV/0!</v>
      </c>
    </row>
    <row r="24" spans="1:14" x14ac:dyDescent="0.2">
      <c r="A24" s="7">
        <f>'Sheet 2. County Level Data'!A22</f>
        <v>0</v>
      </c>
      <c r="B24" s="29" t="e">
        <f>('Formula Calculations (LOCKED)'!C24*'Sheet 2. County Level Data'!$P$4)</f>
        <v>#DIV/0!</v>
      </c>
      <c r="C24" s="29" t="e">
        <f>'Formula Calculations (LOCKED)'!H24/'Formula Calculations (LOCKED)'!$H$2*'Sheet 2. County Level Data'!$P$4</f>
        <v>#DIV/0!</v>
      </c>
      <c r="D24" s="29" t="e">
        <f>('Formula Calculations (LOCKED)'!L24/'Formula Calculations (LOCKED)'!$L$2)*'Sheet 2. County Level Data'!$P$4</f>
        <v>#DIV/0!</v>
      </c>
      <c r="E24" s="29" t="e">
        <f>('Formula Calculations (LOCKED)'!O24/'Formula Calculations (LOCKED)'!$O$2)*'Sheet 2. County Level Data'!$P$4</f>
        <v>#DIV/0!</v>
      </c>
      <c r="F24" s="29" t="e">
        <f>('Formula Calculations (LOCKED)'!D24/'Formula Calculations (LOCKED)'!$D$2)*'Sheet 2. County Level Data'!$P$4</f>
        <v>#DIV/0!</v>
      </c>
      <c r="G24" s="29" t="e">
        <f>'Sheet 2. County Level Data'!$T$11+(0.5*10000000)*'Formula Calculations (LOCKED)'!H24/'Formula Calculations (LOCKED)'!$H$2</f>
        <v>#DIV/0!</v>
      </c>
      <c r="H24" s="29" t="e">
        <f>(0.5*10000000)*'Formula Calculations (LOCKED)'!H24/'Formula Calculations (LOCKED)'!$H$2+(0.5*10000000)*'Formula Calculations (LOCKED)'!D24/'Formula Calculations (LOCKED)'!$D$2</f>
        <v>#DIV/0!</v>
      </c>
      <c r="I24" s="7" t="e">
        <f>'Sheet 2. County Level Data'!$T$12+(0.3333333333*10000000*('Formula Calculations (LOCKED)'!H24/'Formula Calculations (LOCKED)'!$H$2))+(0.3333333333*10000000*('Formula Calculations (LOCKED)'!D24/'Formula Calculations (LOCKED)'!$D$2))</f>
        <v>#DIV/0!</v>
      </c>
      <c r="J24" s="29" t="e">
        <f>'Sheet 2. County Level Data'!$T$13+(0.25*10000000*('Formula Calculations (LOCKED)'!H24/'Formula Calculations (LOCKED)'!$H$2))+(0.25*10000000*('Formula Calculations (LOCKED)'!D24/'Formula Calculations (LOCKED)'!$D$2))+(0.25*10000000*('Formula Calculations (LOCKED)'!L24/'Formula Calculations (LOCKED)'!$L$2))</f>
        <v>#DIV/0!</v>
      </c>
      <c r="K24" s="29" t="e">
        <f>'Sheet 2. County Level Data'!$T$13+(0.25*10000000*('Formula Calculations (LOCKED)'!H24/'Formula Calculations (LOCKED)'!$H$2))+(0.25*10000000*('Formula Calculations (LOCKED)'!D24/'Formula Calculations (LOCKED)'!$D$2))+(0.25*10000000*('Formula Calculations (LOCKED)'!O24/'Formula Calculations (LOCKED)'!$O$2))</f>
        <v>#DIV/0!</v>
      </c>
      <c r="L24" s="29" t="e">
        <f>IF('Formula Calculations (LOCKED)'!$G24=1,('Sheet 2. County Level Data'!$P$12*('Formula Calculations (LOCKED)'!K24/'Formula Calculations (LOCKED)'!$K$2)),((10000000-'Sheet 2. County Level Data'!$P$12)*'Formula Calculations (LOCKED)'!J24/'Formula Calculations (LOCKED)'!$J$2))</f>
        <v>#DIV/0!</v>
      </c>
      <c r="M24" s="29" t="e">
        <f>IF('Formula Calculations (LOCKED)'!$G24=1,((0.5*'Sheet 2. County Level Data'!$P$12)*('Formula Calculations (LOCKED)'!K24/'Formula Calculations (LOCKED)'!$K$2))+((0.5*'Sheet 2. County Level Data'!$P$12)*('Formula Calculations (LOCKED)'!N24/'Formula Calculations (LOCKED)'!$N$2)),((0.5*(10000000-'Sheet 2. County Level Data'!$P$12))*('Formula Calculations (LOCKED)'!J24/'Formula Calculations (LOCKED)'!$J$2))+((0.5*(10000000-'Sheet 2. County Level Data'!$P$12))*('Formula Calculations (LOCKED)'!M24/'Formula Calculations (LOCKED)'!$M$2)))</f>
        <v>#DIV/0!</v>
      </c>
      <c r="N24" s="29" t="e">
        <f>IF('Formula Calculations (LOCKED)'!$G24=1,((0.5*'Sheet 2. County Level Data'!$P$12)*('Formula Calculations (LOCKED)'!K24/'Formula Calculations (LOCKED)'!$K$2))+((0.5*'Sheet 2. County Level Data'!$P$12)*('Formula Calculations (LOCKED)'!R24/'Formula Calculations (LOCKED)'!$R$2)),((0.5*(10000000-'Sheet 2. County Level Data'!$P$12))*('Formula Calculations (LOCKED)'!J24/'Formula Calculations (LOCKED)'!$J$2))+((0.5*(10000000-'Sheet 2. County Level Data'!$P$12))*('Formula Calculations (LOCKED)'!Q24/'Formula Calculations (LOCKED)'!$Q$2)))</f>
        <v>#DIV/0!</v>
      </c>
    </row>
    <row r="25" spans="1:14" x14ac:dyDescent="0.2">
      <c r="A25" s="7">
        <f>'Sheet 2. County Level Data'!A23</f>
        <v>0</v>
      </c>
      <c r="B25" s="29" t="e">
        <f>('Formula Calculations (LOCKED)'!C25*'Sheet 2. County Level Data'!$P$4)</f>
        <v>#DIV/0!</v>
      </c>
      <c r="C25" s="29" t="e">
        <f>'Formula Calculations (LOCKED)'!H25/'Formula Calculations (LOCKED)'!$H$2*'Sheet 2. County Level Data'!$P$4</f>
        <v>#DIV/0!</v>
      </c>
      <c r="D25" s="29" t="e">
        <f>('Formula Calculations (LOCKED)'!L25/'Formula Calculations (LOCKED)'!$L$2)*'Sheet 2. County Level Data'!$P$4</f>
        <v>#DIV/0!</v>
      </c>
      <c r="E25" s="29" t="e">
        <f>('Formula Calculations (LOCKED)'!O25/'Formula Calculations (LOCKED)'!$O$2)*'Sheet 2. County Level Data'!$P$4</f>
        <v>#DIV/0!</v>
      </c>
      <c r="F25" s="29" t="e">
        <f>('Formula Calculations (LOCKED)'!D25/'Formula Calculations (LOCKED)'!$D$2)*'Sheet 2. County Level Data'!$P$4</f>
        <v>#DIV/0!</v>
      </c>
      <c r="G25" s="29" t="e">
        <f>'Sheet 2. County Level Data'!$T$11+(0.5*10000000)*'Formula Calculations (LOCKED)'!H25/'Formula Calculations (LOCKED)'!$H$2</f>
        <v>#DIV/0!</v>
      </c>
      <c r="H25" s="29" t="e">
        <f>(0.5*10000000)*'Formula Calculations (LOCKED)'!H25/'Formula Calculations (LOCKED)'!$H$2+(0.5*10000000)*'Formula Calculations (LOCKED)'!D25/'Formula Calculations (LOCKED)'!$D$2</f>
        <v>#DIV/0!</v>
      </c>
      <c r="I25" s="7" t="e">
        <f>'Sheet 2. County Level Data'!$T$12+(0.3333333333*10000000*('Formula Calculations (LOCKED)'!H25/'Formula Calculations (LOCKED)'!$H$2))+(0.3333333333*10000000*('Formula Calculations (LOCKED)'!D25/'Formula Calculations (LOCKED)'!$D$2))</f>
        <v>#DIV/0!</v>
      </c>
      <c r="J25" s="29" t="e">
        <f>'Sheet 2. County Level Data'!$T$13+(0.25*10000000*('Formula Calculations (LOCKED)'!H25/'Formula Calculations (LOCKED)'!$H$2))+(0.25*10000000*('Formula Calculations (LOCKED)'!D25/'Formula Calculations (LOCKED)'!$D$2))+(0.25*10000000*('Formula Calculations (LOCKED)'!L25/'Formula Calculations (LOCKED)'!$L$2))</f>
        <v>#DIV/0!</v>
      </c>
      <c r="K25" s="29" t="e">
        <f>'Sheet 2. County Level Data'!$T$13+(0.25*10000000*('Formula Calculations (LOCKED)'!H25/'Formula Calculations (LOCKED)'!$H$2))+(0.25*10000000*('Formula Calculations (LOCKED)'!D25/'Formula Calculations (LOCKED)'!$D$2))+(0.25*10000000*('Formula Calculations (LOCKED)'!O25/'Formula Calculations (LOCKED)'!$O$2))</f>
        <v>#DIV/0!</v>
      </c>
      <c r="L25" s="29" t="e">
        <f>IF('Formula Calculations (LOCKED)'!$G25=1,('Sheet 2. County Level Data'!$P$12*('Formula Calculations (LOCKED)'!K25/'Formula Calculations (LOCKED)'!$K$2)),((10000000-'Sheet 2. County Level Data'!$P$12)*'Formula Calculations (LOCKED)'!J25/'Formula Calculations (LOCKED)'!$J$2))</f>
        <v>#DIV/0!</v>
      </c>
      <c r="M25" s="29" t="e">
        <f>IF('Formula Calculations (LOCKED)'!$G25=1,((0.5*'Sheet 2. County Level Data'!$P$12)*('Formula Calculations (LOCKED)'!K25/'Formula Calculations (LOCKED)'!$K$2))+((0.5*'Sheet 2. County Level Data'!$P$12)*('Formula Calculations (LOCKED)'!N25/'Formula Calculations (LOCKED)'!$N$2)),((0.5*(10000000-'Sheet 2. County Level Data'!$P$12))*('Formula Calculations (LOCKED)'!J25/'Formula Calculations (LOCKED)'!$J$2))+((0.5*(10000000-'Sheet 2. County Level Data'!$P$12))*('Formula Calculations (LOCKED)'!M25/'Formula Calculations (LOCKED)'!$M$2)))</f>
        <v>#DIV/0!</v>
      </c>
      <c r="N25" s="29" t="e">
        <f>IF('Formula Calculations (LOCKED)'!$G25=1,((0.5*'Sheet 2. County Level Data'!$P$12)*('Formula Calculations (LOCKED)'!K25/'Formula Calculations (LOCKED)'!$K$2))+((0.5*'Sheet 2. County Level Data'!$P$12)*('Formula Calculations (LOCKED)'!R25/'Formula Calculations (LOCKED)'!$R$2)),((0.5*(10000000-'Sheet 2. County Level Data'!$P$12))*('Formula Calculations (LOCKED)'!J25/'Formula Calculations (LOCKED)'!$J$2))+((0.5*(10000000-'Sheet 2. County Level Data'!$P$12))*('Formula Calculations (LOCKED)'!Q25/'Formula Calculations (LOCKED)'!$Q$2)))</f>
        <v>#DIV/0!</v>
      </c>
    </row>
    <row r="26" spans="1:14" x14ac:dyDescent="0.2">
      <c r="A26" s="7">
        <f>'Sheet 2. County Level Data'!A24</f>
        <v>0</v>
      </c>
      <c r="B26" s="29" t="e">
        <f>('Formula Calculations (LOCKED)'!C26*'Sheet 2. County Level Data'!$P$4)</f>
        <v>#DIV/0!</v>
      </c>
      <c r="C26" s="29" t="e">
        <f>'Formula Calculations (LOCKED)'!H26/'Formula Calculations (LOCKED)'!$H$2*'Sheet 2. County Level Data'!$P$4</f>
        <v>#DIV/0!</v>
      </c>
      <c r="D26" s="29" t="e">
        <f>('Formula Calculations (LOCKED)'!L26/'Formula Calculations (LOCKED)'!$L$2)*'Sheet 2. County Level Data'!$P$4</f>
        <v>#DIV/0!</v>
      </c>
      <c r="E26" s="29" t="e">
        <f>('Formula Calculations (LOCKED)'!O26/'Formula Calculations (LOCKED)'!$O$2)*'Sheet 2. County Level Data'!$P$4</f>
        <v>#DIV/0!</v>
      </c>
      <c r="F26" s="29" t="e">
        <f>('Formula Calculations (LOCKED)'!D26/'Formula Calculations (LOCKED)'!$D$2)*'Sheet 2. County Level Data'!$P$4</f>
        <v>#DIV/0!</v>
      </c>
      <c r="G26" s="29" t="e">
        <f>'Sheet 2. County Level Data'!$T$11+(0.5*10000000)*'Formula Calculations (LOCKED)'!H26/'Formula Calculations (LOCKED)'!$H$2</f>
        <v>#DIV/0!</v>
      </c>
      <c r="H26" s="29" t="e">
        <f>(0.5*10000000)*'Formula Calculations (LOCKED)'!H26/'Formula Calculations (LOCKED)'!$H$2+(0.5*10000000)*'Formula Calculations (LOCKED)'!D26/'Formula Calculations (LOCKED)'!$D$2</f>
        <v>#DIV/0!</v>
      </c>
      <c r="I26" s="7" t="e">
        <f>'Sheet 2. County Level Data'!$T$12+(0.3333333333*10000000*('Formula Calculations (LOCKED)'!H26/'Formula Calculations (LOCKED)'!$H$2))+(0.3333333333*10000000*('Formula Calculations (LOCKED)'!D26/'Formula Calculations (LOCKED)'!$D$2))</f>
        <v>#DIV/0!</v>
      </c>
      <c r="J26" s="29" t="e">
        <f>'Sheet 2. County Level Data'!$T$13+(0.25*10000000*('Formula Calculations (LOCKED)'!H26/'Formula Calculations (LOCKED)'!$H$2))+(0.25*10000000*('Formula Calculations (LOCKED)'!D26/'Formula Calculations (LOCKED)'!$D$2))+(0.25*10000000*('Formula Calculations (LOCKED)'!L26/'Formula Calculations (LOCKED)'!$L$2))</f>
        <v>#DIV/0!</v>
      </c>
      <c r="K26" s="29" t="e">
        <f>'Sheet 2. County Level Data'!$T$13+(0.25*10000000*('Formula Calculations (LOCKED)'!H26/'Formula Calculations (LOCKED)'!$H$2))+(0.25*10000000*('Formula Calculations (LOCKED)'!D26/'Formula Calculations (LOCKED)'!$D$2))+(0.25*10000000*('Formula Calculations (LOCKED)'!O26/'Formula Calculations (LOCKED)'!$O$2))</f>
        <v>#DIV/0!</v>
      </c>
      <c r="L26" s="29" t="e">
        <f>IF('Formula Calculations (LOCKED)'!$G26=1,('Sheet 2. County Level Data'!$P$12*('Formula Calculations (LOCKED)'!K26/'Formula Calculations (LOCKED)'!$K$2)),((10000000-'Sheet 2. County Level Data'!$P$12)*'Formula Calculations (LOCKED)'!J26/'Formula Calculations (LOCKED)'!$J$2))</f>
        <v>#DIV/0!</v>
      </c>
      <c r="M26" s="29" t="e">
        <f>IF('Formula Calculations (LOCKED)'!$G26=1,((0.5*'Sheet 2. County Level Data'!$P$12)*('Formula Calculations (LOCKED)'!K26/'Formula Calculations (LOCKED)'!$K$2))+((0.5*'Sheet 2. County Level Data'!$P$12)*('Formula Calculations (LOCKED)'!N26/'Formula Calculations (LOCKED)'!$N$2)),((0.5*(10000000-'Sheet 2. County Level Data'!$P$12))*('Formula Calculations (LOCKED)'!J26/'Formula Calculations (LOCKED)'!$J$2))+((0.5*(10000000-'Sheet 2. County Level Data'!$P$12))*('Formula Calculations (LOCKED)'!M26/'Formula Calculations (LOCKED)'!$M$2)))</f>
        <v>#DIV/0!</v>
      </c>
      <c r="N26" s="29" t="e">
        <f>IF('Formula Calculations (LOCKED)'!$G26=1,((0.5*'Sheet 2. County Level Data'!$P$12)*('Formula Calculations (LOCKED)'!K26/'Formula Calculations (LOCKED)'!$K$2))+((0.5*'Sheet 2. County Level Data'!$P$12)*('Formula Calculations (LOCKED)'!R26/'Formula Calculations (LOCKED)'!$R$2)),((0.5*(10000000-'Sheet 2. County Level Data'!$P$12))*('Formula Calculations (LOCKED)'!J26/'Formula Calculations (LOCKED)'!$J$2))+((0.5*(10000000-'Sheet 2. County Level Data'!$P$12))*('Formula Calculations (LOCKED)'!Q26/'Formula Calculations (LOCKED)'!$Q$2)))</f>
        <v>#DIV/0!</v>
      </c>
    </row>
    <row r="27" spans="1:14" x14ac:dyDescent="0.2">
      <c r="A27" s="7">
        <f>'Sheet 2. County Level Data'!A25</f>
        <v>0</v>
      </c>
      <c r="B27" s="29" t="e">
        <f>('Formula Calculations (LOCKED)'!C27*'Sheet 2. County Level Data'!$P$4)</f>
        <v>#DIV/0!</v>
      </c>
      <c r="C27" s="29" t="e">
        <f>'Formula Calculations (LOCKED)'!H27/'Formula Calculations (LOCKED)'!$H$2*'Sheet 2. County Level Data'!$P$4</f>
        <v>#DIV/0!</v>
      </c>
      <c r="D27" s="29" t="e">
        <f>('Formula Calculations (LOCKED)'!L27/'Formula Calculations (LOCKED)'!$L$2)*'Sheet 2. County Level Data'!$P$4</f>
        <v>#DIV/0!</v>
      </c>
      <c r="E27" s="29" t="e">
        <f>('Formula Calculations (LOCKED)'!O27/'Formula Calculations (LOCKED)'!$O$2)*'Sheet 2. County Level Data'!$P$4</f>
        <v>#DIV/0!</v>
      </c>
      <c r="F27" s="29" t="e">
        <f>('Formula Calculations (LOCKED)'!D27/'Formula Calculations (LOCKED)'!$D$2)*'Sheet 2. County Level Data'!$P$4</f>
        <v>#DIV/0!</v>
      </c>
      <c r="G27" s="29" t="e">
        <f>'Sheet 2. County Level Data'!$T$11+(0.5*10000000)*'Formula Calculations (LOCKED)'!H27/'Formula Calculations (LOCKED)'!$H$2</f>
        <v>#DIV/0!</v>
      </c>
      <c r="H27" s="29" t="e">
        <f>(0.5*10000000)*'Formula Calculations (LOCKED)'!H27/'Formula Calculations (LOCKED)'!$H$2+(0.5*10000000)*'Formula Calculations (LOCKED)'!D27/'Formula Calculations (LOCKED)'!$D$2</f>
        <v>#DIV/0!</v>
      </c>
      <c r="I27" s="7" t="e">
        <f>'Sheet 2. County Level Data'!$T$12+(0.3333333333*10000000*('Formula Calculations (LOCKED)'!H27/'Formula Calculations (LOCKED)'!$H$2))+(0.3333333333*10000000*('Formula Calculations (LOCKED)'!D27/'Formula Calculations (LOCKED)'!$D$2))</f>
        <v>#DIV/0!</v>
      </c>
      <c r="J27" s="29" t="e">
        <f>'Sheet 2. County Level Data'!$T$13+(0.25*10000000*('Formula Calculations (LOCKED)'!H27/'Formula Calculations (LOCKED)'!$H$2))+(0.25*10000000*('Formula Calculations (LOCKED)'!D27/'Formula Calculations (LOCKED)'!$D$2))+(0.25*10000000*('Formula Calculations (LOCKED)'!L27/'Formula Calculations (LOCKED)'!$L$2))</f>
        <v>#DIV/0!</v>
      </c>
      <c r="K27" s="29" t="e">
        <f>'Sheet 2. County Level Data'!$T$13+(0.25*10000000*('Formula Calculations (LOCKED)'!H27/'Formula Calculations (LOCKED)'!$H$2))+(0.25*10000000*('Formula Calculations (LOCKED)'!D27/'Formula Calculations (LOCKED)'!$D$2))+(0.25*10000000*('Formula Calculations (LOCKED)'!O27/'Formula Calculations (LOCKED)'!$O$2))</f>
        <v>#DIV/0!</v>
      </c>
      <c r="L27" s="29" t="e">
        <f>IF('Formula Calculations (LOCKED)'!$G27=1,('Sheet 2. County Level Data'!$P$12*('Formula Calculations (LOCKED)'!K27/'Formula Calculations (LOCKED)'!$K$2)),((10000000-'Sheet 2. County Level Data'!$P$12)*'Formula Calculations (LOCKED)'!J27/'Formula Calculations (LOCKED)'!$J$2))</f>
        <v>#DIV/0!</v>
      </c>
      <c r="M27" s="29" t="e">
        <f>IF('Formula Calculations (LOCKED)'!$G27=1,((0.5*'Sheet 2. County Level Data'!$P$12)*('Formula Calculations (LOCKED)'!K27/'Formula Calculations (LOCKED)'!$K$2))+((0.5*'Sheet 2. County Level Data'!$P$12)*('Formula Calculations (LOCKED)'!N27/'Formula Calculations (LOCKED)'!$N$2)),((0.5*(10000000-'Sheet 2. County Level Data'!$P$12))*('Formula Calculations (LOCKED)'!J27/'Formula Calculations (LOCKED)'!$J$2))+((0.5*(10000000-'Sheet 2. County Level Data'!$P$12))*('Formula Calculations (LOCKED)'!M27/'Formula Calculations (LOCKED)'!$M$2)))</f>
        <v>#DIV/0!</v>
      </c>
      <c r="N27" s="29" t="e">
        <f>IF('Formula Calculations (LOCKED)'!$G27=1,((0.5*'Sheet 2. County Level Data'!$P$12)*('Formula Calculations (LOCKED)'!K27/'Formula Calculations (LOCKED)'!$K$2))+((0.5*'Sheet 2. County Level Data'!$P$12)*('Formula Calculations (LOCKED)'!R27/'Formula Calculations (LOCKED)'!$R$2)),((0.5*(10000000-'Sheet 2. County Level Data'!$P$12))*('Formula Calculations (LOCKED)'!J27/'Formula Calculations (LOCKED)'!$J$2))+((0.5*(10000000-'Sheet 2. County Level Data'!$P$12))*('Formula Calculations (LOCKED)'!Q27/'Formula Calculations (LOCKED)'!$Q$2)))</f>
        <v>#DIV/0!</v>
      </c>
    </row>
    <row r="28" spans="1:14" x14ac:dyDescent="0.2">
      <c r="A28" s="7">
        <f>'Sheet 2. County Level Data'!A26</f>
        <v>0</v>
      </c>
      <c r="B28" s="29" t="e">
        <f>('Formula Calculations (LOCKED)'!C28*'Sheet 2. County Level Data'!$P$4)</f>
        <v>#DIV/0!</v>
      </c>
      <c r="C28" s="29" t="e">
        <f>'Formula Calculations (LOCKED)'!H28/'Formula Calculations (LOCKED)'!$H$2*'Sheet 2. County Level Data'!$P$4</f>
        <v>#DIV/0!</v>
      </c>
      <c r="D28" s="29" t="e">
        <f>('Formula Calculations (LOCKED)'!L28/'Formula Calculations (LOCKED)'!$L$2)*'Sheet 2. County Level Data'!$P$4</f>
        <v>#DIV/0!</v>
      </c>
      <c r="E28" s="29" t="e">
        <f>('Formula Calculations (LOCKED)'!O28/'Formula Calculations (LOCKED)'!$O$2)*'Sheet 2. County Level Data'!$P$4</f>
        <v>#DIV/0!</v>
      </c>
      <c r="F28" s="29" t="e">
        <f>('Formula Calculations (LOCKED)'!D28/'Formula Calculations (LOCKED)'!$D$2)*'Sheet 2. County Level Data'!$P$4</f>
        <v>#DIV/0!</v>
      </c>
      <c r="G28" s="29" t="e">
        <f>'Sheet 2. County Level Data'!$T$11+(0.5*10000000)*'Formula Calculations (LOCKED)'!H28/'Formula Calculations (LOCKED)'!$H$2</f>
        <v>#DIV/0!</v>
      </c>
      <c r="H28" s="29" t="e">
        <f>(0.5*10000000)*'Formula Calculations (LOCKED)'!H28/'Formula Calculations (LOCKED)'!$H$2+(0.5*10000000)*'Formula Calculations (LOCKED)'!D28/'Formula Calculations (LOCKED)'!$D$2</f>
        <v>#DIV/0!</v>
      </c>
      <c r="I28" s="7" t="e">
        <f>'Sheet 2. County Level Data'!$T$12+(0.3333333333*10000000*('Formula Calculations (LOCKED)'!H28/'Formula Calculations (LOCKED)'!$H$2))+(0.3333333333*10000000*('Formula Calculations (LOCKED)'!D28/'Formula Calculations (LOCKED)'!$D$2))</f>
        <v>#DIV/0!</v>
      </c>
      <c r="J28" s="29" t="e">
        <f>'Sheet 2. County Level Data'!$T$13+(0.25*10000000*('Formula Calculations (LOCKED)'!H28/'Formula Calculations (LOCKED)'!$H$2))+(0.25*10000000*('Formula Calculations (LOCKED)'!D28/'Formula Calculations (LOCKED)'!$D$2))+(0.25*10000000*('Formula Calculations (LOCKED)'!L28/'Formula Calculations (LOCKED)'!$L$2))</f>
        <v>#DIV/0!</v>
      </c>
      <c r="K28" s="29" t="e">
        <f>'Sheet 2. County Level Data'!$T$13+(0.25*10000000*('Formula Calculations (LOCKED)'!H28/'Formula Calculations (LOCKED)'!$H$2))+(0.25*10000000*('Formula Calculations (LOCKED)'!D28/'Formula Calculations (LOCKED)'!$D$2))+(0.25*10000000*('Formula Calculations (LOCKED)'!O28/'Formula Calculations (LOCKED)'!$O$2))</f>
        <v>#DIV/0!</v>
      </c>
      <c r="L28" s="29" t="e">
        <f>IF('Formula Calculations (LOCKED)'!$G28=1,('Sheet 2. County Level Data'!$P$12*('Formula Calculations (LOCKED)'!K28/'Formula Calculations (LOCKED)'!$K$2)),((10000000-'Sheet 2. County Level Data'!$P$12)*'Formula Calculations (LOCKED)'!J28/'Formula Calculations (LOCKED)'!$J$2))</f>
        <v>#DIV/0!</v>
      </c>
      <c r="M28" s="29" t="e">
        <f>IF('Formula Calculations (LOCKED)'!$G28=1,((0.5*'Sheet 2. County Level Data'!$P$12)*('Formula Calculations (LOCKED)'!K28/'Formula Calculations (LOCKED)'!$K$2))+((0.5*'Sheet 2. County Level Data'!$P$12)*('Formula Calculations (LOCKED)'!N28/'Formula Calculations (LOCKED)'!$N$2)),((0.5*(10000000-'Sheet 2. County Level Data'!$P$12))*('Formula Calculations (LOCKED)'!J28/'Formula Calculations (LOCKED)'!$J$2))+((0.5*(10000000-'Sheet 2. County Level Data'!$P$12))*('Formula Calculations (LOCKED)'!M28/'Formula Calculations (LOCKED)'!$M$2)))</f>
        <v>#DIV/0!</v>
      </c>
      <c r="N28" s="29" t="e">
        <f>IF('Formula Calculations (LOCKED)'!$G28=1,((0.5*'Sheet 2. County Level Data'!$P$12)*('Formula Calculations (LOCKED)'!K28/'Formula Calculations (LOCKED)'!$K$2))+((0.5*'Sheet 2. County Level Data'!$P$12)*('Formula Calculations (LOCKED)'!R28/'Formula Calculations (LOCKED)'!$R$2)),((0.5*(10000000-'Sheet 2. County Level Data'!$P$12))*('Formula Calculations (LOCKED)'!J28/'Formula Calculations (LOCKED)'!$J$2))+((0.5*(10000000-'Sheet 2. County Level Data'!$P$12))*('Formula Calculations (LOCKED)'!Q28/'Formula Calculations (LOCKED)'!$Q$2)))</f>
        <v>#DIV/0!</v>
      </c>
    </row>
    <row r="29" spans="1:14" x14ac:dyDescent="0.2">
      <c r="A29" s="7">
        <f>'Sheet 2. County Level Data'!A27</f>
        <v>0</v>
      </c>
      <c r="B29" s="29" t="e">
        <f>('Formula Calculations (LOCKED)'!C29*'Sheet 2. County Level Data'!$P$4)</f>
        <v>#DIV/0!</v>
      </c>
      <c r="C29" s="29" t="e">
        <f>'Formula Calculations (LOCKED)'!H29/'Formula Calculations (LOCKED)'!$H$2*'Sheet 2. County Level Data'!$P$4</f>
        <v>#DIV/0!</v>
      </c>
      <c r="D29" s="29" t="e">
        <f>('Formula Calculations (LOCKED)'!L29/'Formula Calculations (LOCKED)'!$L$2)*'Sheet 2. County Level Data'!$P$4</f>
        <v>#DIV/0!</v>
      </c>
      <c r="E29" s="29" t="e">
        <f>('Formula Calculations (LOCKED)'!O29/'Formula Calculations (LOCKED)'!$O$2)*'Sheet 2. County Level Data'!$P$4</f>
        <v>#DIV/0!</v>
      </c>
      <c r="F29" s="29" t="e">
        <f>('Formula Calculations (LOCKED)'!D29/'Formula Calculations (LOCKED)'!$D$2)*'Sheet 2. County Level Data'!$P$4</f>
        <v>#DIV/0!</v>
      </c>
      <c r="G29" s="29" t="e">
        <f>'Sheet 2. County Level Data'!$T$11+(0.5*10000000)*'Formula Calculations (LOCKED)'!H29/'Formula Calculations (LOCKED)'!$H$2</f>
        <v>#DIV/0!</v>
      </c>
      <c r="H29" s="29" t="e">
        <f>(0.5*10000000)*'Formula Calculations (LOCKED)'!H29/'Formula Calculations (LOCKED)'!$H$2+(0.5*10000000)*'Formula Calculations (LOCKED)'!D29/'Formula Calculations (LOCKED)'!$D$2</f>
        <v>#DIV/0!</v>
      </c>
      <c r="I29" s="7" t="e">
        <f>'Sheet 2. County Level Data'!$T$12+(0.3333333333*10000000*('Formula Calculations (LOCKED)'!H29/'Formula Calculations (LOCKED)'!$H$2))+(0.3333333333*10000000*('Formula Calculations (LOCKED)'!D29/'Formula Calculations (LOCKED)'!$D$2))</f>
        <v>#DIV/0!</v>
      </c>
      <c r="J29" s="29" t="e">
        <f>'Sheet 2. County Level Data'!$T$13+(0.25*10000000*('Formula Calculations (LOCKED)'!H29/'Formula Calculations (LOCKED)'!$H$2))+(0.25*10000000*('Formula Calculations (LOCKED)'!D29/'Formula Calculations (LOCKED)'!$D$2))+(0.25*10000000*('Formula Calculations (LOCKED)'!L29/'Formula Calculations (LOCKED)'!$L$2))</f>
        <v>#DIV/0!</v>
      </c>
      <c r="K29" s="29" t="e">
        <f>'Sheet 2. County Level Data'!$T$13+(0.25*10000000*('Formula Calculations (LOCKED)'!H29/'Formula Calculations (LOCKED)'!$H$2))+(0.25*10000000*('Formula Calculations (LOCKED)'!D29/'Formula Calculations (LOCKED)'!$D$2))+(0.25*10000000*('Formula Calculations (LOCKED)'!O29/'Formula Calculations (LOCKED)'!$O$2))</f>
        <v>#DIV/0!</v>
      </c>
      <c r="L29" s="29" t="e">
        <f>IF('Formula Calculations (LOCKED)'!$G29=1,('Sheet 2. County Level Data'!$P$12*('Formula Calculations (LOCKED)'!K29/'Formula Calculations (LOCKED)'!$K$2)),((10000000-'Sheet 2. County Level Data'!$P$12)*'Formula Calculations (LOCKED)'!J29/'Formula Calculations (LOCKED)'!$J$2))</f>
        <v>#DIV/0!</v>
      </c>
      <c r="M29" s="29" t="e">
        <f>IF('Formula Calculations (LOCKED)'!$G29=1,((0.5*'Sheet 2. County Level Data'!$P$12)*('Formula Calculations (LOCKED)'!K29/'Formula Calculations (LOCKED)'!$K$2))+((0.5*'Sheet 2. County Level Data'!$P$12)*('Formula Calculations (LOCKED)'!N29/'Formula Calculations (LOCKED)'!$N$2)),((0.5*(10000000-'Sheet 2. County Level Data'!$P$12))*('Formula Calculations (LOCKED)'!J29/'Formula Calculations (LOCKED)'!$J$2))+((0.5*(10000000-'Sheet 2. County Level Data'!$P$12))*('Formula Calculations (LOCKED)'!M29/'Formula Calculations (LOCKED)'!$M$2)))</f>
        <v>#DIV/0!</v>
      </c>
      <c r="N29" s="29" t="e">
        <f>IF('Formula Calculations (LOCKED)'!$G29=1,((0.5*'Sheet 2. County Level Data'!$P$12)*('Formula Calculations (LOCKED)'!K29/'Formula Calculations (LOCKED)'!$K$2))+((0.5*'Sheet 2. County Level Data'!$P$12)*('Formula Calculations (LOCKED)'!R29/'Formula Calculations (LOCKED)'!$R$2)),((0.5*(10000000-'Sheet 2. County Level Data'!$P$12))*('Formula Calculations (LOCKED)'!J29/'Formula Calculations (LOCKED)'!$J$2))+((0.5*(10000000-'Sheet 2. County Level Data'!$P$12))*('Formula Calculations (LOCKED)'!Q29/'Formula Calculations (LOCKED)'!$Q$2)))</f>
        <v>#DIV/0!</v>
      </c>
    </row>
    <row r="30" spans="1:14" x14ac:dyDescent="0.2">
      <c r="A30" s="7">
        <f>'Sheet 2. County Level Data'!A28</f>
        <v>0</v>
      </c>
      <c r="B30" s="29" t="e">
        <f>('Formula Calculations (LOCKED)'!C30*'Sheet 2. County Level Data'!$P$4)</f>
        <v>#DIV/0!</v>
      </c>
      <c r="C30" s="29" t="e">
        <f>'Formula Calculations (LOCKED)'!H30/'Formula Calculations (LOCKED)'!$H$2*'Sheet 2. County Level Data'!$P$4</f>
        <v>#DIV/0!</v>
      </c>
      <c r="D30" s="29" t="e">
        <f>('Formula Calculations (LOCKED)'!L30/'Formula Calculations (LOCKED)'!$L$2)*'Sheet 2. County Level Data'!$P$4</f>
        <v>#DIV/0!</v>
      </c>
      <c r="E30" s="29" t="e">
        <f>('Formula Calculations (LOCKED)'!O30/'Formula Calculations (LOCKED)'!$O$2)*'Sheet 2. County Level Data'!$P$4</f>
        <v>#DIV/0!</v>
      </c>
      <c r="F30" s="29" t="e">
        <f>('Formula Calculations (LOCKED)'!D30/'Formula Calculations (LOCKED)'!$D$2)*'Sheet 2. County Level Data'!$P$4</f>
        <v>#DIV/0!</v>
      </c>
      <c r="G30" s="29" t="e">
        <f>'Sheet 2. County Level Data'!$T$11+(0.5*10000000)*'Formula Calculations (LOCKED)'!H30/'Formula Calculations (LOCKED)'!$H$2</f>
        <v>#DIV/0!</v>
      </c>
      <c r="H30" s="29" t="e">
        <f>(0.5*10000000)*'Formula Calculations (LOCKED)'!H30/'Formula Calculations (LOCKED)'!$H$2+(0.5*10000000)*'Formula Calculations (LOCKED)'!D30/'Formula Calculations (LOCKED)'!$D$2</f>
        <v>#DIV/0!</v>
      </c>
      <c r="I30" s="7" t="e">
        <f>'Sheet 2. County Level Data'!$T$12+(0.3333333333*10000000*('Formula Calculations (LOCKED)'!H30/'Formula Calculations (LOCKED)'!$H$2))+(0.3333333333*10000000*('Formula Calculations (LOCKED)'!D30/'Formula Calculations (LOCKED)'!$D$2))</f>
        <v>#DIV/0!</v>
      </c>
      <c r="J30" s="29" t="e">
        <f>'Sheet 2. County Level Data'!$T$13+(0.25*10000000*('Formula Calculations (LOCKED)'!H30/'Formula Calculations (LOCKED)'!$H$2))+(0.25*10000000*('Formula Calculations (LOCKED)'!D30/'Formula Calculations (LOCKED)'!$D$2))+(0.25*10000000*('Formula Calculations (LOCKED)'!L30/'Formula Calculations (LOCKED)'!$L$2))</f>
        <v>#DIV/0!</v>
      </c>
      <c r="K30" s="29" t="e">
        <f>'Sheet 2. County Level Data'!$T$13+(0.25*10000000*('Formula Calculations (LOCKED)'!H30/'Formula Calculations (LOCKED)'!$H$2))+(0.25*10000000*('Formula Calculations (LOCKED)'!D30/'Formula Calculations (LOCKED)'!$D$2))+(0.25*10000000*('Formula Calculations (LOCKED)'!O30/'Formula Calculations (LOCKED)'!$O$2))</f>
        <v>#DIV/0!</v>
      </c>
      <c r="L30" s="29" t="e">
        <f>IF('Formula Calculations (LOCKED)'!$G30=1,('Sheet 2. County Level Data'!$P$12*('Formula Calculations (LOCKED)'!K30/'Formula Calculations (LOCKED)'!$K$2)),((10000000-'Sheet 2. County Level Data'!$P$12)*'Formula Calculations (LOCKED)'!J30/'Formula Calculations (LOCKED)'!$J$2))</f>
        <v>#DIV/0!</v>
      </c>
      <c r="M30" s="29" t="e">
        <f>IF('Formula Calculations (LOCKED)'!$G30=1,((0.5*'Sheet 2. County Level Data'!$P$12)*('Formula Calculations (LOCKED)'!K30/'Formula Calculations (LOCKED)'!$K$2))+((0.5*'Sheet 2. County Level Data'!$P$12)*('Formula Calculations (LOCKED)'!N30/'Formula Calculations (LOCKED)'!$N$2)),((0.5*(10000000-'Sheet 2. County Level Data'!$P$12))*('Formula Calculations (LOCKED)'!J30/'Formula Calculations (LOCKED)'!$J$2))+((0.5*(10000000-'Sheet 2. County Level Data'!$P$12))*('Formula Calculations (LOCKED)'!M30/'Formula Calculations (LOCKED)'!$M$2)))</f>
        <v>#DIV/0!</v>
      </c>
      <c r="N30" s="29" t="e">
        <f>IF('Formula Calculations (LOCKED)'!$G30=1,((0.5*'Sheet 2. County Level Data'!$P$12)*('Formula Calculations (LOCKED)'!K30/'Formula Calculations (LOCKED)'!$K$2))+((0.5*'Sheet 2. County Level Data'!$P$12)*('Formula Calculations (LOCKED)'!R30/'Formula Calculations (LOCKED)'!$R$2)),((0.5*(10000000-'Sheet 2. County Level Data'!$P$12))*('Formula Calculations (LOCKED)'!J30/'Formula Calculations (LOCKED)'!$J$2))+((0.5*(10000000-'Sheet 2. County Level Data'!$P$12))*('Formula Calculations (LOCKED)'!Q30/'Formula Calculations (LOCKED)'!$Q$2)))</f>
        <v>#DIV/0!</v>
      </c>
    </row>
    <row r="31" spans="1:14" x14ac:dyDescent="0.2">
      <c r="A31" s="7">
        <f>'Sheet 2. County Level Data'!A29</f>
        <v>0</v>
      </c>
      <c r="B31" s="29" t="e">
        <f>('Formula Calculations (LOCKED)'!C31*'Sheet 2. County Level Data'!$P$4)</f>
        <v>#DIV/0!</v>
      </c>
      <c r="C31" s="29" t="e">
        <f>'Formula Calculations (LOCKED)'!H31/'Formula Calculations (LOCKED)'!$H$2*'Sheet 2. County Level Data'!$P$4</f>
        <v>#DIV/0!</v>
      </c>
      <c r="D31" s="29" t="e">
        <f>('Formula Calculations (LOCKED)'!L31/'Formula Calculations (LOCKED)'!$L$2)*'Sheet 2. County Level Data'!$P$4</f>
        <v>#DIV/0!</v>
      </c>
      <c r="E31" s="29" t="e">
        <f>('Formula Calculations (LOCKED)'!O31/'Formula Calculations (LOCKED)'!$O$2)*'Sheet 2. County Level Data'!$P$4</f>
        <v>#DIV/0!</v>
      </c>
      <c r="F31" s="29" t="e">
        <f>('Formula Calculations (LOCKED)'!D31/'Formula Calculations (LOCKED)'!$D$2)*'Sheet 2. County Level Data'!$P$4</f>
        <v>#DIV/0!</v>
      </c>
      <c r="G31" s="29" t="e">
        <f>'Sheet 2. County Level Data'!$T$11+(0.5*10000000)*'Formula Calculations (LOCKED)'!H31/'Formula Calculations (LOCKED)'!$H$2</f>
        <v>#DIV/0!</v>
      </c>
      <c r="H31" s="29" t="e">
        <f>(0.5*10000000)*'Formula Calculations (LOCKED)'!H31/'Formula Calculations (LOCKED)'!$H$2+(0.5*10000000)*'Formula Calculations (LOCKED)'!D31/'Formula Calculations (LOCKED)'!$D$2</f>
        <v>#DIV/0!</v>
      </c>
      <c r="I31" s="7" t="e">
        <f>'Sheet 2. County Level Data'!$T$12+(0.3333333333*10000000*('Formula Calculations (LOCKED)'!H31/'Formula Calculations (LOCKED)'!$H$2))+(0.3333333333*10000000*('Formula Calculations (LOCKED)'!D31/'Formula Calculations (LOCKED)'!$D$2))</f>
        <v>#DIV/0!</v>
      </c>
      <c r="J31" s="29" t="e">
        <f>'Sheet 2. County Level Data'!$T$13+(0.25*10000000*('Formula Calculations (LOCKED)'!H31/'Formula Calculations (LOCKED)'!$H$2))+(0.25*10000000*('Formula Calculations (LOCKED)'!D31/'Formula Calculations (LOCKED)'!$D$2))+(0.25*10000000*('Formula Calculations (LOCKED)'!L31/'Formula Calculations (LOCKED)'!$L$2))</f>
        <v>#DIV/0!</v>
      </c>
      <c r="K31" s="29" t="e">
        <f>'Sheet 2. County Level Data'!$T$13+(0.25*10000000*('Formula Calculations (LOCKED)'!H31/'Formula Calculations (LOCKED)'!$H$2))+(0.25*10000000*('Formula Calculations (LOCKED)'!D31/'Formula Calculations (LOCKED)'!$D$2))+(0.25*10000000*('Formula Calculations (LOCKED)'!O31/'Formula Calculations (LOCKED)'!$O$2))</f>
        <v>#DIV/0!</v>
      </c>
      <c r="L31" s="29" t="e">
        <f>IF('Formula Calculations (LOCKED)'!$G31=1,('Sheet 2. County Level Data'!$P$12*('Formula Calculations (LOCKED)'!K31/'Formula Calculations (LOCKED)'!$K$2)),((10000000-'Sheet 2. County Level Data'!$P$12)*'Formula Calculations (LOCKED)'!J31/'Formula Calculations (LOCKED)'!$J$2))</f>
        <v>#DIV/0!</v>
      </c>
      <c r="M31" s="29" t="e">
        <f>IF('Formula Calculations (LOCKED)'!$G31=1,((0.5*'Sheet 2. County Level Data'!$P$12)*('Formula Calculations (LOCKED)'!K31/'Formula Calculations (LOCKED)'!$K$2))+((0.5*'Sheet 2. County Level Data'!$P$12)*('Formula Calculations (LOCKED)'!N31/'Formula Calculations (LOCKED)'!$N$2)),((0.5*(10000000-'Sheet 2. County Level Data'!$P$12))*('Formula Calculations (LOCKED)'!J31/'Formula Calculations (LOCKED)'!$J$2))+((0.5*(10000000-'Sheet 2. County Level Data'!$P$12))*('Formula Calculations (LOCKED)'!M31/'Formula Calculations (LOCKED)'!$M$2)))</f>
        <v>#DIV/0!</v>
      </c>
      <c r="N31" s="29" t="e">
        <f>IF('Formula Calculations (LOCKED)'!$G31=1,((0.5*'Sheet 2. County Level Data'!$P$12)*('Formula Calculations (LOCKED)'!K31/'Formula Calculations (LOCKED)'!$K$2))+((0.5*'Sheet 2. County Level Data'!$P$12)*('Formula Calculations (LOCKED)'!R31/'Formula Calculations (LOCKED)'!$R$2)),((0.5*(10000000-'Sheet 2. County Level Data'!$P$12))*('Formula Calculations (LOCKED)'!J31/'Formula Calculations (LOCKED)'!$J$2))+((0.5*(10000000-'Sheet 2. County Level Data'!$P$12))*('Formula Calculations (LOCKED)'!Q31/'Formula Calculations (LOCKED)'!$Q$2)))</f>
        <v>#DIV/0!</v>
      </c>
    </row>
    <row r="32" spans="1:14" x14ac:dyDescent="0.2">
      <c r="A32" s="7">
        <f>'Sheet 2. County Level Data'!A30</f>
        <v>0</v>
      </c>
      <c r="B32" s="29" t="e">
        <f>('Formula Calculations (LOCKED)'!C32*'Sheet 2. County Level Data'!$P$4)</f>
        <v>#DIV/0!</v>
      </c>
      <c r="C32" s="29" t="e">
        <f>'Formula Calculations (LOCKED)'!H32/'Formula Calculations (LOCKED)'!$H$2*'Sheet 2. County Level Data'!$P$4</f>
        <v>#DIV/0!</v>
      </c>
      <c r="D32" s="29" t="e">
        <f>('Formula Calculations (LOCKED)'!L32/'Formula Calculations (LOCKED)'!$L$2)*'Sheet 2. County Level Data'!$P$4</f>
        <v>#DIV/0!</v>
      </c>
      <c r="E32" s="29" t="e">
        <f>('Formula Calculations (LOCKED)'!O32/'Formula Calculations (LOCKED)'!$O$2)*'Sheet 2. County Level Data'!$P$4</f>
        <v>#DIV/0!</v>
      </c>
      <c r="F32" s="29" t="e">
        <f>('Formula Calculations (LOCKED)'!D32/'Formula Calculations (LOCKED)'!$D$2)*'Sheet 2. County Level Data'!$P$4</f>
        <v>#DIV/0!</v>
      </c>
      <c r="G32" s="29" t="e">
        <f>'Sheet 2. County Level Data'!$T$11+(0.5*10000000)*'Formula Calculations (LOCKED)'!H32/'Formula Calculations (LOCKED)'!$H$2</f>
        <v>#DIV/0!</v>
      </c>
      <c r="H32" s="29" t="e">
        <f>(0.5*10000000)*'Formula Calculations (LOCKED)'!H32/'Formula Calculations (LOCKED)'!$H$2+(0.5*10000000)*'Formula Calculations (LOCKED)'!D32/'Formula Calculations (LOCKED)'!$D$2</f>
        <v>#DIV/0!</v>
      </c>
      <c r="I32" s="7" t="e">
        <f>'Sheet 2. County Level Data'!$T$12+(0.3333333333*10000000*('Formula Calculations (LOCKED)'!H32/'Formula Calculations (LOCKED)'!$H$2))+(0.3333333333*10000000*('Formula Calculations (LOCKED)'!D32/'Formula Calculations (LOCKED)'!$D$2))</f>
        <v>#DIV/0!</v>
      </c>
      <c r="J32" s="29" t="e">
        <f>'Sheet 2. County Level Data'!$T$13+(0.25*10000000*('Formula Calculations (LOCKED)'!H32/'Formula Calculations (LOCKED)'!$H$2))+(0.25*10000000*('Formula Calculations (LOCKED)'!D32/'Formula Calculations (LOCKED)'!$D$2))+(0.25*10000000*('Formula Calculations (LOCKED)'!L32/'Formula Calculations (LOCKED)'!$L$2))</f>
        <v>#DIV/0!</v>
      </c>
      <c r="K32" s="29" t="e">
        <f>'Sheet 2. County Level Data'!$T$13+(0.25*10000000*('Formula Calculations (LOCKED)'!H32/'Formula Calculations (LOCKED)'!$H$2))+(0.25*10000000*('Formula Calculations (LOCKED)'!D32/'Formula Calculations (LOCKED)'!$D$2))+(0.25*10000000*('Formula Calculations (LOCKED)'!O32/'Formula Calculations (LOCKED)'!$O$2))</f>
        <v>#DIV/0!</v>
      </c>
      <c r="L32" s="29" t="e">
        <f>IF('Formula Calculations (LOCKED)'!$G32=1,('Sheet 2. County Level Data'!$P$12*('Formula Calculations (LOCKED)'!K32/'Formula Calculations (LOCKED)'!$K$2)),((10000000-'Sheet 2. County Level Data'!$P$12)*'Formula Calculations (LOCKED)'!J32/'Formula Calculations (LOCKED)'!$J$2))</f>
        <v>#DIV/0!</v>
      </c>
      <c r="M32" s="29" t="e">
        <f>IF('Formula Calculations (LOCKED)'!$G32=1,((0.5*'Sheet 2. County Level Data'!$P$12)*('Formula Calculations (LOCKED)'!K32/'Formula Calculations (LOCKED)'!$K$2))+((0.5*'Sheet 2. County Level Data'!$P$12)*('Formula Calculations (LOCKED)'!N32/'Formula Calculations (LOCKED)'!$N$2)),((0.5*(10000000-'Sheet 2. County Level Data'!$P$12))*('Formula Calculations (LOCKED)'!J32/'Formula Calculations (LOCKED)'!$J$2))+((0.5*(10000000-'Sheet 2. County Level Data'!$P$12))*('Formula Calculations (LOCKED)'!M32/'Formula Calculations (LOCKED)'!$M$2)))</f>
        <v>#DIV/0!</v>
      </c>
      <c r="N32" s="29" t="e">
        <f>IF('Formula Calculations (LOCKED)'!$G32=1,((0.5*'Sheet 2. County Level Data'!$P$12)*('Formula Calculations (LOCKED)'!K32/'Formula Calculations (LOCKED)'!$K$2))+((0.5*'Sheet 2. County Level Data'!$P$12)*('Formula Calculations (LOCKED)'!R32/'Formula Calculations (LOCKED)'!$R$2)),((0.5*(10000000-'Sheet 2. County Level Data'!$P$12))*('Formula Calculations (LOCKED)'!J32/'Formula Calculations (LOCKED)'!$J$2))+((0.5*(10000000-'Sheet 2. County Level Data'!$P$12))*('Formula Calculations (LOCKED)'!Q32/'Formula Calculations (LOCKED)'!$Q$2)))</f>
        <v>#DIV/0!</v>
      </c>
    </row>
    <row r="33" spans="1:14" x14ac:dyDescent="0.2">
      <c r="A33" s="7">
        <f>'Sheet 2. County Level Data'!A31</f>
        <v>0</v>
      </c>
      <c r="B33" s="29" t="e">
        <f>('Formula Calculations (LOCKED)'!C33*'Sheet 2. County Level Data'!$P$4)</f>
        <v>#DIV/0!</v>
      </c>
      <c r="C33" s="29" t="e">
        <f>'Formula Calculations (LOCKED)'!H33/'Formula Calculations (LOCKED)'!$H$2*'Sheet 2. County Level Data'!$P$4</f>
        <v>#DIV/0!</v>
      </c>
      <c r="D33" s="29" t="e">
        <f>('Formula Calculations (LOCKED)'!L33/'Formula Calculations (LOCKED)'!$L$2)*'Sheet 2. County Level Data'!$P$4</f>
        <v>#DIV/0!</v>
      </c>
      <c r="E33" s="29" t="e">
        <f>('Formula Calculations (LOCKED)'!O33/'Formula Calculations (LOCKED)'!$O$2)*'Sheet 2. County Level Data'!$P$4</f>
        <v>#DIV/0!</v>
      </c>
      <c r="F33" s="29" t="e">
        <f>('Formula Calculations (LOCKED)'!D33/'Formula Calculations (LOCKED)'!$D$2)*'Sheet 2. County Level Data'!$P$4</f>
        <v>#DIV/0!</v>
      </c>
      <c r="G33" s="29" t="e">
        <f>'Sheet 2. County Level Data'!$T$11+(0.5*10000000)*'Formula Calculations (LOCKED)'!H33/'Formula Calculations (LOCKED)'!$H$2</f>
        <v>#DIV/0!</v>
      </c>
      <c r="H33" s="29" t="e">
        <f>(0.5*10000000)*'Formula Calculations (LOCKED)'!H33/'Formula Calculations (LOCKED)'!$H$2+(0.5*10000000)*'Formula Calculations (LOCKED)'!D33/'Formula Calculations (LOCKED)'!$D$2</f>
        <v>#DIV/0!</v>
      </c>
      <c r="I33" s="7" t="e">
        <f>'Sheet 2. County Level Data'!$T$12+(0.3333333333*10000000*('Formula Calculations (LOCKED)'!H33/'Formula Calculations (LOCKED)'!$H$2))+(0.3333333333*10000000*('Formula Calculations (LOCKED)'!D33/'Formula Calculations (LOCKED)'!$D$2))</f>
        <v>#DIV/0!</v>
      </c>
      <c r="J33" s="29" t="e">
        <f>'Sheet 2. County Level Data'!$T$13+(0.25*10000000*('Formula Calculations (LOCKED)'!H33/'Formula Calculations (LOCKED)'!$H$2))+(0.25*10000000*('Formula Calculations (LOCKED)'!D33/'Formula Calculations (LOCKED)'!$D$2))+(0.25*10000000*('Formula Calculations (LOCKED)'!L33/'Formula Calculations (LOCKED)'!$L$2))</f>
        <v>#DIV/0!</v>
      </c>
      <c r="K33" s="29" t="e">
        <f>'Sheet 2. County Level Data'!$T$13+(0.25*10000000*('Formula Calculations (LOCKED)'!H33/'Formula Calculations (LOCKED)'!$H$2))+(0.25*10000000*('Formula Calculations (LOCKED)'!D33/'Formula Calculations (LOCKED)'!$D$2))+(0.25*10000000*('Formula Calculations (LOCKED)'!O33/'Formula Calculations (LOCKED)'!$O$2))</f>
        <v>#DIV/0!</v>
      </c>
      <c r="L33" s="29" t="e">
        <f>IF('Formula Calculations (LOCKED)'!$G33=1,('Sheet 2. County Level Data'!$P$12*('Formula Calculations (LOCKED)'!K33/'Formula Calculations (LOCKED)'!$K$2)),((10000000-'Sheet 2. County Level Data'!$P$12)*'Formula Calculations (LOCKED)'!J33/'Formula Calculations (LOCKED)'!$J$2))</f>
        <v>#DIV/0!</v>
      </c>
      <c r="M33" s="29" t="e">
        <f>IF('Formula Calculations (LOCKED)'!$G33=1,((0.5*'Sheet 2. County Level Data'!$P$12)*('Formula Calculations (LOCKED)'!K33/'Formula Calculations (LOCKED)'!$K$2))+((0.5*'Sheet 2. County Level Data'!$P$12)*('Formula Calculations (LOCKED)'!N33/'Formula Calculations (LOCKED)'!$N$2)),((0.5*(10000000-'Sheet 2. County Level Data'!$P$12))*('Formula Calculations (LOCKED)'!J33/'Formula Calculations (LOCKED)'!$J$2))+((0.5*(10000000-'Sheet 2. County Level Data'!$P$12))*('Formula Calculations (LOCKED)'!M33/'Formula Calculations (LOCKED)'!$M$2)))</f>
        <v>#DIV/0!</v>
      </c>
      <c r="N33" s="29" t="e">
        <f>IF('Formula Calculations (LOCKED)'!$G33=1,((0.5*'Sheet 2. County Level Data'!$P$12)*('Formula Calculations (LOCKED)'!K33/'Formula Calculations (LOCKED)'!$K$2))+((0.5*'Sheet 2. County Level Data'!$P$12)*('Formula Calculations (LOCKED)'!R33/'Formula Calculations (LOCKED)'!$R$2)),((0.5*(10000000-'Sheet 2. County Level Data'!$P$12))*('Formula Calculations (LOCKED)'!J33/'Formula Calculations (LOCKED)'!$J$2))+((0.5*(10000000-'Sheet 2. County Level Data'!$P$12))*('Formula Calculations (LOCKED)'!Q33/'Formula Calculations (LOCKED)'!$Q$2)))</f>
        <v>#DIV/0!</v>
      </c>
    </row>
    <row r="34" spans="1:14" x14ac:dyDescent="0.2">
      <c r="A34" s="7">
        <f>'Sheet 2. County Level Data'!A32</f>
        <v>0</v>
      </c>
      <c r="B34" s="29" t="e">
        <f>('Formula Calculations (LOCKED)'!C34*'Sheet 2. County Level Data'!$P$4)</f>
        <v>#DIV/0!</v>
      </c>
      <c r="C34" s="29" t="e">
        <f>'Formula Calculations (LOCKED)'!H34/'Formula Calculations (LOCKED)'!$H$2*'Sheet 2. County Level Data'!$P$4</f>
        <v>#DIV/0!</v>
      </c>
      <c r="D34" s="29" t="e">
        <f>('Formula Calculations (LOCKED)'!L34/'Formula Calculations (LOCKED)'!$L$2)*'Sheet 2. County Level Data'!$P$4</f>
        <v>#DIV/0!</v>
      </c>
      <c r="E34" s="29" t="e">
        <f>('Formula Calculations (LOCKED)'!O34/'Formula Calculations (LOCKED)'!$O$2)*'Sheet 2. County Level Data'!$P$4</f>
        <v>#DIV/0!</v>
      </c>
      <c r="F34" s="29" t="e">
        <f>('Formula Calculations (LOCKED)'!D34/'Formula Calculations (LOCKED)'!$D$2)*'Sheet 2. County Level Data'!$P$4</f>
        <v>#DIV/0!</v>
      </c>
      <c r="G34" s="29" t="e">
        <f>'Sheet 2. County Level Data'!$T$11+(0.5*10000000)*'Formula Calculations (LOCKED)'!H34/'Formula Calculations (LOCKED)'!$H$2</f>
        <v>#DIV/0!</v>
      </c>
      <c r="H34" s="29" t="e">
        <f>(0.5*10000000)*'Formula Calculations (LOCKED)'!H34/'Formula Calculations (LOCKED)'!$H$2+(0.5*10000000)*'Formula Calculations (LOCKED)'!D34/'Formula Calculations (LOCKED)'!$D$2</f>
        <v>#DIV/0!</v>
      </c>
      <c r="I34" s="7" t="e">
        <f>'Sheet 2. County Level Data'!$T$12+(0.3333333333*10000000*('Formula Calculations (LOCKED)'!H34/'Formula Calculations (LOCKED)'!$H$2))+(0.3333333333*10000000*('Formula Calculations (LOCKED)'!D34/'Formula Calculations (LOCKED)'!$D$2))</f>
        <v>#DIV/0!</v>
      </c>
      <c r="J34" s="29" t="e">
        <f>'Sheet 2. County Level Data'!$T$13+(0.25*10000000*('Formula Calculations (LOCKED)'!H34/'Formula Calculations (LOCKED)'!$H$2))+(0.25*10000000*('Formula Calculations (LOCKED)'!D34/'Formula Calculations (LOCKED)'!$D$2))+(0.25*10000000*('Formula Calculations (LOCKED)'!L34/'Formula Calculations (LOCKED)'!$L$2))</f>
        <v>#DIV/0!</v>
      </c>
      <c r="K34" s="29" t="e">
        <f>'Sheet 2. County Level Data'!$T$13+(0.25*10000000*('Formula Calculations (LOCKED)'!H34/'Formula Calculations (LOCKED)'!$H$2))+(0.25*10000000*('Formula Calculations (LOCKED)'!D34/'Formula Calculations (LOCKED)'!$D$2))+(0.25*10000000*('Formula Calculations (LOCKED)'!O34/'Formula Calculations (LOCKED)'!$O$2))</f>
        <v>#DIV/0!</v>
      </c>
      <c r="L34" s="29" t="e">
        <f>IF('Formula Calculations (LOCKED)'!$G34=1,('Sheet 2. County Level Data'!$P$12*('Formula Calculations (LOCKED)'!K34/'Formula Calculations (LOCKED)'!$K$2)),((10000000-'Sheet 2. County Level Data'!$P$12)*'Formula Calculations (LOCKED)'!J34/'Formula Calculations (LOCKED)'!$J$2))</f>
        <v>#DIV/0!</v>
      </c>
      <c r="M34" s="29" t="e">
        <f>IF('Formula Calculations (LOCKED)'!$G34=1,((0.5*'Sheet 2. County Level Data'!$P$12)*('Formula Calculations (LOCKED)'!K34/'Formula Calculations (LOCKED)'!$K$2))+((0.5*'Sheet 2. County Level Data'!$P$12)*('Formula Calculations (LOCKED)'!N34/'Formula Calculations (LOCKED)'!$N$2)),((0.5*(10000000-'Sheet 2. County Level Data'!$P$12))*('Formula Calculations (LOCKED)'!J34/'Formula Calculations (LOCKED)'!$J$2))+((0.5*(10000000-'Sheet 2. County Level Data'!$P$12))*('Formula Calculations (LOCKED)'!M34/'Formula Calculations (LOCKED)'!$M$2)))</f>
        <v>#DIV/0!</v>
      </c>
      <c r="N34" s="29" t="e">
        <f>IF('Formula Calculations (LOCKED)'!$G34=1,((0.5*'Sheet 2. County Level Data'!$P$12)*('Formula Calculations (LOCKED)'!K34/'Formula Calculations (LOCKED)'!$K$2))+((0.5*'Sheet 2. County Level Data'!$P$12)*('Formula Calculations (LOCKED)'!R34/'Formula Calculations (LOCKED)'!$R$2)),((0.5*(10000000-'Sheet 2. County Level Data'!$P$12))*('Formula Calculations (LOCKED)'!J34/'Formula Calculations (LOCKED)'!$J$2))+((0.5*(10000000-'Sheet 2. County Level Data'!$P$12))*('Formula Calculations (LOCKED)'!Q34/'Formula Calculations (LOCKED)'!$Q$2)))</f>
        <v>#DIV/0!</v>
      </c>
    </row>
    <row r="35" spans="1:14" x14ac:dyDescent="0.2">
      <c r="A35" s="7">
        <f>'Sheet 2. County Level Data'!A33</f>
        <v>0</v>
      </c>
      <c r="B35" s="29" t="e">
        <f>('Formula Calculations (LOCKED)'!C35*'Sheet 2. County Level Data'!$P$4)</f>
        <v>#DIV/0!</v>
      </c>
      <c r="C35" s="29" t="e">
        <f>'Formula Calculations (LOCKED)'!H35/'Formula Calculations (LOCKED)'!$H$2*'Sheet 2. County Level Data'!$P$4</f>
        <v>#DIV/0!</v>
      </c>
      <c r="D35" s="29" t="e">
        <f>('Formula Calculations (LOCKED)'!L35/'Formula Calculations (LOCKED)'!$L$2)*'Sheet 2. County Level Data'!$P$4</f>
        <v>#DIV/0!</v>
      </c>
      <c r="E35" s="29" t="e">
        <f>('Formula Calculations (LOCKED)'!O35/'Formula Calculations (LOCKED)'!$O$2)*'Sheet 2. County Level Data'!$P$4</f>
        <v>#DIV/0!</v>
      </c>
      <c r="F35" s="29" t="e">
        <f>('Formula Calculations (LOCKED)'!D35/'Formula Calculations (LOCKED)'!$D$2)*'Sheet 2. County Level Data'!$P$4</f>
        <v>#DIV/0!</v>
      </c>
      <c r="G35" s="29" t="e">
        <f>'Sheet 2. County Level Data'!$T$11+(0.5*10000000)*'Formula Calculations (LOCKED)'!H35/'Formula Calculations (LOCKED)'!$H$2</f>
        <v>#DIV/0!</v>
      </c>
      <c r="H35" s="29" t="e">
        <f>(0.5*10000000)*'Formula Calculations (LOCKED)'!H35/'Formula Calculations (LOCKED)'!$H$2+(0.5*10000000)*'Formula Calculations (LOCKED)'!D35/'Formula Calculations (LOCKED)'!$D$2</f>
        <v>#DIV/0!</v>
      </c>
      <c r="I35" s="7" t="e">
        <f>'Sheet 2. County Level Data'!$T$12+(0.3333333333*10000000*('Formula Calculations (LOCKED)'!H35/'Formula Calculations (LOCKED)'!$H$2))+(0.3333333333*10000000*('Formula Calculations (LOCKED)'!D35/'Formula Calculations (LOCKED)'!$D$2))</f>
        <v>#DIV/0!</v>
      </c>
      <c r="J35" s="29" t="e">
        <f>'Sheet 2. County Level Data'!$T$13+(0.25*10000000*('Formula Calculations (LOCKED)'!H35/'Formula Calculations (LOCKED)'!$H$2))+(0.25*10000000*('Formula Calculations (LOCKED)'!D35/'Formula Calculations (LOCKED)'!$D$2))+(0.25*10000000*('Formula Calculations (LOCKED)'!L35/'Formula Calculations (LOCKED)'!$L$2))</f>
        <v>#DIV/0!</v>
      </c>
      <c r="K35" s="29" t="e">
        <f>'Sheet 2. County Level Data'!$T$13+(0.25*10000000*('Formula Calculations (LOCKED)'!H35/'Formula Calculations (LOCKED)'!$H$2))+(0.25*10000000*('Formula Calculations (LOCKED)'!D35/'Formula Calculations (LOCKED)'!$D$2))+(0.25*10000000*('Formula Calculations (LOCKED)'!O35/'Formula Calculations (LOCKED)'!$O$2))</f>
        <v>#DIV/0!</v>
      </c>
      <c r="L35" s="29" t="e">
        <f>IF('Formula Calculations (LOCKED)'!$G35=1,('Sheet 2. County Level Data'!$P$12*('Formula Calculations (LOCKED)'!K35/'Formula Calculations (LOCKED)'!$K$2)),((10000000-'Sheet 2. County Level Data'!$P$12)*'Formula Calculations (LOCKED)'!J35/'Formula Calculations (LOCKED)'!$J$2))</f>
        <v>#DIV/0!</v>
      </c>
      <c r="M35" s="29" t="e">
        <f>IF('Formula Calculations (LOCKED)'!$G35=1,((0.5*'Sheet 2. County Level Data'!$P$12)*('Formula Calculations (LOCKED)'!K35/'Formula Calculations (LOCKED)'!$K$2))+((0.5*'Sheet 2. County Level Data'!$P$12)*('Formula Calculations (LOCKED)'!N35/'Formula Calculations (LOCKED)'!$N$2)),((0.5*(10000000-'Sheet 2. County Level Data'!$P$12))*('Formula Calculations (LOCKED)'!J35/'Formula Calculations (LOCKED)'!$J$2))+((0.5*(10000000-'Sheet 2. County Level Data'!$P$12))*('Formula Calculations (LOCKED)'!M35/'Formula Calculations (LOCKED)'!$M$2)))</f>
        <v>#DIV/0!</v>
      </c>
      <c r="N35" s="29" t="e">
        <f>IF('Formula Calculations (LOCKED)'!$G35=1,((0.5*'Sheet 2. County Level Data'!$P$12)*('Formula Calculations (LOCKED)'!K35/'Formula Calculations (LOCKED)'!$K$2))+((0.5*'Sheet 2. County Level Data'!$P$12)*('Formula Calculations (LOCKED)'!R35/'Formula Calculations (LOCKED)'!$R$2)),((0.5*(10000000-'Sheet 2. County Level Data'!$P$12))*('Formula Calculations (LOCKED)'!J35/'Formula Calculations (LOCKED)'!$J$2))+((0.5*(10000000-'Sheet 2. County Level Data'!$P$12))*('Formula Calculations (LOCKED)'!Q35/'Formula Calculations (LOCKED)'!$Q$2)))</f>
        <v>#DIV/0!</v>
      </c>
    </row>
    <row r="36" spans="1:14" x14ac:dyDescent="0.2">
      <c r="A36" s="7">
        <f>'Sheet 2. County Level Data'!A34</f>
        <v>0</v>
      </c>
      <c r="B36" s="29" t="e">
        <f>('Formula Calculations (LOCKED)'!C36*'Sheet 2. County Level Data'!$P$4)</f>
        <v>#DIV/0!</v>
      </c>
      <c r="C36" s="29" t="e">
        <f>'Formula Calculations (LOCKED)'!H36/'Formula Calculations (LOCKED)'!$H$2*'Sheet 2. County Level Data'!$P$4</f>
        <v>#DIV/0!</v>
      </c>
      <c r="D36" s="29" t="e">
        <f>('Formula Calculations (LOCKED)'!L36/'Formula Calculations (LOCKED)'!$L$2)*'Sheet 2. County Level Data'!$P$4</f>
        <v>#DIV/0!</v>
      </c>
      <c r="E36" s="29" t="e">
        <f>('Formula Calculations (LOCKED)'!O36/'Formula Calculations (LOCKED)'!$O$2)*'Sheet 2. County Level Data'!$P$4</f>
        <v>#DIV/0!</v>
      </c>
      <c r="F36" s="29" t="e">
        <f>('Formula Calculations (LOCKED)'!D36/'Formula Calculations (LOCKED)'!$D$2)*'Sheet 2. County Level Data'!$P$4</f>
        <v>#DIV/0!</v>
      </c>
      <c r="G36" s="29" t="e">
        <f>'Sheet 2. County Level Data'!$T$11+(0.5*10000000)*'Formula Calculations (LOCKED)'!H36/'Formula Calculations (LOCKED)'!$H$2</f>
        <v>#DIV/0!</v>
      </c>
      <c r="H36" s="29" t="e">
        <f>(0.5*10000000)*'Formula Calculations (LOCKED)'!H36/'Formula Calculations (LOCKED)'!$H$2+(0.5*10000000)*'Formula Calculations (LOCKED)'!D36/'Formula Calculations (LOCKED)'!$D$2</f>
        <v>#DIV/0!</v>
      </c>
      <c r="I36" s="7" t="e">
        <f>'Sheet 2. County Level Data'!$T$12+(0.3333333333*10000000*('Formula Calculations (LOCKED)'!H36/'Formula Calculations (LOCKED)'!$H$2))+(0.3333333333*10000000*('Formula Calculations (LOCKED)'!D36/'Formula Calculations (LOCKED)'!$D$2))</f>
        <v>#DIV/0!</v>
      </c>
      <c r="J36" s="29" t="e">
        <f>'Sheet 2. County Level Data'!$T$13+(0.25*10000000*('Formula Calculations (LOCKED)'!H36/'Formula Calculations (LOCKED)'!$H$2))+(0.25*10000000*('Formula Calculations (LOCKED)'!D36/'Formula Calculations (LOCKED)'!$D$2))+(0.25*10000000*('Formula Calculations (LOCKED)'!L36/'Formula Calculations (LOCKED)'!$L$2))</f>
        <v>#DIV/0!</v>
      </c>
      <c r="K36" s="29" t="e">
        <f>'Sheet 2. County Level Data'!$T$13+(0.25*10000000*('Formula Calculations (LOCKED)'!H36/'Formula Calculations (LOCKED)'!$H$2))+(0.25*10000000*('Formula Calculations (LOCKED)'!D36/'Formula Calculations (LOCKED)'!$D$2))+(0.25*10000000*('Formula Calculations (LOCKED)'!O36/'Formula Calculations (LOCKED)'!$O$2))</f>
        <v>#DIV/0!</v>
      </c>
      <c r="L36" s="29" t="e">
        <f>IF('Formula Calculations (LOCKED)'!$G36=1,('Sheet 2. County Level Data'!$P$12*('Formula Calculations (LOCKED)'!K36/'Formula Calculations (LOCKED)'!$K$2)),((10000000-'Sheet 2. County Level Data'!$P$12)*'Formula Calculations (LOCKED)'!J36/'Formula Calculations (LOCKED)'!$J$2))</f>
        <v>#DIV/0!</v>
      </c>
      <c r="M36" s="29" t="e">
        <f>IF('Formula Calculations (LOCKED)'!$G36=1,((0.5*'Sheet 2. County Level Data'!$P$12)*('Formula Calculations (LOCKED)'!K36/'Formula Calculations (LOCKED)'!$K$2))+((0.5*'Sheet 2. County Level Data'!$P$12)*('Formula Calculations (LOCKED)'!N36/'Formula Calculations (LOCKED)'!$N$2)),((0.5*(10000000-'Sheet 2. County Level Data'!$P$12))*('Formula Calculations (LOCKED)'!J36/'Formula Calculations (LOCKED)'!$J$2))+((0.5*(10000000-'Sheet 2. County Level Data'!$P$12))*('Formula Calculations (LOCKED)'!M36/'Formula Calculations (LOCKED)'!$M$2)))</f>
        <v>#DIV/0!</v>
      </c>
      <c r="N36" s="29" t="e">
        <f>IF('Formula Calculations (LOCKED)'!$G36=1,((0.5*'Sheet 2. County Level Data'!$P$12)*('Formula Calculations (LOCKED)'!K36/'Formula Calculations (LOCKED)'!$K$2))+((0.5*'Sheet 2. County Level Data'!$P$12)*('Formula Calculations (LOCKED)'!R36/'Formula Calculations (LOCKED)'!$R$2)),((0.5*(10000000-'Sheet 2. County Level Data'!$P$12))*('Formula Calculations (LOCKED)'!J36/'Formula Calculations (LOCKED)'!$J$2))+((0.5*(10000000-'Sheet 2. County Level Data'!$P$12))*('Formula Calculations (LOCKED)'!Q36/'Formula Calculations (LOCKED)'!$Q$2)))</f>
        <v>#DIV/0!</v>
      </c>
    </row>
    <row r="37" spans="1:14" x14ac:dyDescent="0.2">
      <c r="A37" s="7">
        <f>'Sheet 2. County Level Data'!A35</f>
        <v>0</v>
      </c>
      <c r="B37" s="29" t="e">
        <f>('Formula Calculations (LOCKED)'!C37*'Sheet 2. County Level Data'!$P$4)</f>
        <v>#DIV/0!</v>
      </c>
      <c r="C37" s="29" t="e">
        <f>'Formula Calculations (LOCKED)'!H37/'Formula Calculations (LOCKED)'!$H$2*'Sheet 2. County Level Data'!$P$4</f>
        <v>#DIV/0!</v>
      </c>
      <c r="D37" s="29" t="e">
        <f>('Formula Calculations (LOCKED)'!L37/'Formula Calculations (LOCKED)'!$L$2)*'Sheet 2. County Level Data'!$P$4</f>
        <v>#DIV/0!</v>
      </c>
      <c r="E37" s="29" t="e">
        <f>('Formula Calculations (LOCKED)'!O37/'Formula Calculations (LOCKED)'!$O$2)*'Sheet 2. County Level Data'!$P$4</f>
        <v>#DIV/0!</v>
      </c>
      <c r="F37" s="29" t="e">
        <f>('Formula Calculations (LOCKED)'!D37/'Formula Calculations (LOCKED)'!$D$2)*'Sheet 2. County Level Data'!$P$4</f>
        <v>#DIV/0!</v>
      </c>
      <c r="G37" s="29" t="e">
        <f>'Sheet 2. County Level Data'!$T$11+(0.5*10000000)*'Formula Calculations (LOCKED)'!H37/'Formula Calculations (LOCKED)'!$H$2</f>
        <v>#DIV/0!</v>
      </c>
      <c r="H37" s="29" t="e">
        <f>(0.5*10000000)*'Formula Calculations (LOCKED)'!H37/'Formula Calculations (LOCKED)'!$H$2+(0.5*10000000)*'Formula Calculations (LOCKED)'!D37/'Formula Calculations (LOCKED)'!$D$2</f>
        <v>#DIV/0!</v>
      </c>
      <c r="I37" s="7" t="e">
        <f>'Sheet 2. County Level Data'!$T$12+(0.3333333333*10000000*('Formula Calculations (LOCKED)'!H37/'Formula Calculations (LOCKED)'!$H$2))+(0.3333333333*10000000*('Formula Calculations (LOCKED)'!D37/'Formula Calculations (LOCKED)'!$D$2))</f>
        <v>#DIV/0!</v>
      </c>
      <c r="J37" s="29" t="e">
        <f>'Sheet 2. County Level Data'!$T$13+(0.25*10000000*('Formula Calculations (LOCKED)'!H37/'Formula Calculations (LOCKED)'!$H$2))+(0.25*10000000*('Formula Calculations (LOCKED)'!D37/'Formula Calculations (LOCKED)'!$D$2))+(0.25*10000000*('Formula Calculations (LOCKED)'!L37/'Formula Calculations (LOCKED)'!$L$2))</f>
        <v>#DIV/0!</v>
      </c>
      <c r="K37" s="29" t="e">
        <f>'Sheet 2. County Level Data'!$T$13+(0.25*10000000*('Formula Calculations (LOCKED)'!H37/'Formula Calculations (LOCKED)'!$H$2))+(0.25*10000000*('Formula Calculations (LOCKED)'!D37/'Formula Calculations (LOCKED)'!$D$2))+(0.25*10000000*('Formula Calculations (LOCKED)'!O37/'Formula Calculations (LOCKED)'!$O$2))</f>
        <v>#DIV/0!</v>
      </c>
      <c r="L37" s="29" t="e">
        <f>IF('Formula Calculations (LOCKED)'!$G37=1,('Sheet 2. County Level Data'!$P$12*('Formula Calculations (LOCKED)'!K37/'Formula Calculations (LOCKED)'!$K$2)),((10000000-'Sheet 2. County Level Data'!$P$12)*'Formula Calculations (LOCKED)'!J37/'Formula Calculations (LOCKED)'!$J$2))</f>
        <v>#DIV/0!</v>
      </c>
      <c r="M37" s="29" t="e">
        <f>IF('Formula Calculations (LOCKED)'!$G37=1,((0.5*'Sheet 2. County Level Data'!$P$12)*('Formula Calculations (LOCKED)'!K37/'Formula Calculations (LOCKED)'!$K$2))+((0.5*'Sheet 2. County Level Data'!$P$12)*('Formula Calculations (LOCKED)'!N37/'Formula Calculations (LOCKED)'!$N$2)),((0.5*(10000000-'Sheet 2. County Level Data'!$P$12))*('Formula Calculations (LOCKED)'!J37/'Formula Calculations (LOCKED)'!$J$2))+((0.5*(10000000-'Sheet 2. County Level Data'!$P$12))*('Formula Calculations (LOCKED)'!M37/'Formula Calculations (LOCKED)'!$M$2)))</f>
        <v>#DIV/0!</v>
      </c>
      <c r="N37" s="29" t="e">
        <f>IF('Formula Calculations (LOCKED)'!$G37=1,((0.5*'Sheet 2. County Level Data'!$P$12)*('Formula Calculations (LOCKED)'!K37/'Formula Calculations (LOCKED)'!$K$2))+((0.5*'Sheet 2. County Level Data'!$P$12)*('Formula Calculations (LOCKED)'!R37/'Formula Calculations (LOCKED)'!$R$2)),((0.5*(10000000-'Sheet 2. County Level Data'!$P$12))*('Formula Calculations (LOCKED)'!J37/'Formula Calculations (LOCKED)'!$J$2))+((0.5*(10000000-'Sheet 2. County Level Data'!$P$12))*('Formula Calculations (LOCKED)'!Q37/'Formula Calculations (LOCKED)'!$Q$2)))</f>
        <v>#DIV/0!</v>
      </c>
    </row>
    <row r="38" spans="1:14" x14ac:dyDescent="0.2">
      <c r="A38" s="7">
        <f>'Sheet 2. County Level Data'!A36</f>
        <v>0</v>
      </c>
      <c r="B38" s="29" t="e">
        <f>('Formula Calculations (LOCKED)'!C38*'Sheet 2. County Level Data'!$P$4)</f>
        <v>#DIV/0!</v>
      </c>
      <c r="C38" s="29" t="e">
        <f>'Formula Calculations (LOCKED)'!H38/'Formula Calculations (LOCKED)'!$H$2*'Sheet 2. County Level Data'!$P$4</f>
        <v>#DIV/0!</v>
      </c>
      <c r="D38" s="29" t="e">
        <f>('Formula Calculations (LOCKED)'!L38/'Formula Calculations (LOCKED)'!$L$2)*'Sheet 2. County Level Data'!$P$4</f>
        <v>#DIV/0!</v>
      </c>
      <c r="E38" s="29" t="e">
        <f>('Formula Calculations (LOCKED)'!O38/'Formula Calculations (LOCKED)'!$O$2)*'Sheet 2. County Level Data'!$P$4</f>
        <v>#DIV/0!</v>
      </c>
      <c r="F38" s="29" t="e">
        <f>('Formula Calculations (LOCKED)'!D38/'Formula Calculations (LOCKED)'!$D$2)*'Sheet 2. County Level Data'!$P$4</f>
        <v>#DIV/0!</v>
      </c>
      <c r="G38" s="29" t="e">
        <f>'Sheet 2. County Level Data'!$T$11+(0.5*10000000)*'Formula Calculations (LOCKED)'!H38/'Formula Calculations (LOCKED)'!$H$2</f>
        <v>#DIV/0!</v>
      </c>
      <c r="H38" s="29" t="e">
        <f>(0.5*10000000)*'Formula Calculations (LOCKED)'!H38/'Formula Calculations (LOCKED)'!$H$2+(0.5*10000000)*'Formula Calculations (LOCKED)'!D38/'Formula Calculations (LOCKED)'!$D$2</f>
        <v>#DIV/0!</v>
      </c>
      <c r="I38" s="7" t="e">
        <f>'Sheet 2. County Level Data'!$T$12+(0.3333333333*10000000*('Formula Calculations (LOCKED)'!H38/'Formula Calculations (LOCKED)'!$H$2))+(0.3333333333*10000000*('Formula Calculations (LOCKED)'!D38/'Formula Calculations (LOCKED)'!$D$2))</f>
        <v>#DIV/0!</v>
      </c>
      <c r="J38" s="29" t="e">
        <f>'Sheet 2. County Level Data'!$T$13+(0.25*10000000*('Formula Calculations (LOCKED)'!H38/'Formula Calculations (LOCKED)'!$H$2))+(0.25*10000000*('Formula Calculations (LOCKED)'!D38/'Formula Calculations (LOCKED)'!$D$2))+(0.25*10000000*('Formula Calculations (LOCKED)'!L38/'Formula Calculations (LOCKED)'!$L$2))</f>
        <v>#DIV/0!</v>
      </c>
      <c r="K38" s="29" t="e">
        <f>'Sheet 2. County Level Data'!$T$13+(0.25*10000000*('Formula Calculations (LOCKED)'!H38/'Formula Calculations (LOCKED)'!$H$2))+(0.25*10000000*('Formula Calculations (LOCKED)'!D38/'Formula Calculations (LOCKED)'!$D$2))+(0.25*10000000*('Formula Calculations (LOCKED)'!O38/'Formula Calculations (LOCKED)'!$O$2))</f>
        <v>#DIV/0!</v>
      </c>
      <c r="L38" s="29" t="e">
        <f>IF('Formula Calculations (LOCKED)'!$G38=1,('Sheet 2. County Level Data'!$P$12*('Formula Calculations (LOCKED)'!K38/'Formula Calculations (LOCKED)'!$K$2)),((10000000-'Sheet 2. County Level Data'!$P$12)*'Formula Calculations (LOCKED)'!J38/'Formula Calculations (LOCKED)'!$J$2))</f>
        <v>#DIV/0!</v>
      </c>
      <c r="M38" s="29" t="e">
        <f>IF('Formula Calculations (LOCKED)'!$G38=1,((0.5*'Sheet 2. County Level Data'!$P$12)*('Formula Calculations (LOCKED)'!K38/'Formula Calculations (LOCKED)'!$K$2))+((0.5*'Sheet 2. County Level Data'!$P$12)*('Formula Calculations (LOCKED)'!N38/'Formula Calculations (LOCKED)'!$N$2)),((0.5*(10000000-'Sheet 2. County Level Data'!$P$12))*('Formula Calculations (LOCKED)'!J38/'Formula Calculations (LOCKED)'!$J$2))+((0.5*(10000000-'Sheet 2. County Level Data'!$P$12))*('Formula Calculations (LOCKED)'!M38/'Formula Calculations (LOCKED)'!$M$2)))</f>
        <v>#DIV/0!</v>
      </c>
      <c r="N38" s="29" t="e">
        <f>IF('Formula Calculations (LOCKED)'!$G38=1,((0.5*'Sheet 2. County Level Data'!$P$12)*('Formula Calculations (LOCKED)'!K38/'Formula Calculations (LOCKED)'!$K$2))+((0.5*'Sheet 2. County Level Data'!$P$12)*('Formula Calculations (LOCKED)'!R38/'Formula Calculations (LOCKED)'!$R$2)),((0.5*(10000000-'Sheet 2. County Level Data'!$P$12))*('Formula Calculations (LOCKED)'!J38/'Formula Calculations (LOCKED)'!$J$2))+((0.5*(10000000-'Sheet 2. County Level Data'!$P$12))*('Formula Calculations (LOCKED)'!Q38/'Formula Calculations (LOCKED)'!$Q$2)))</f>
        <v>#DIV/0!</v>
      </c>
    </row>
    <row r="39" spans="1:14" x14ac:dyDescent="0.2">
      <c r="A39" s="7">
        <f>'Sheet 2. County Level Data'!A37</f>
        <v>0</v>
      </c>
      <c r="B39" s="29" t="e">
        <f>('Formula Calculations (LOCKED)'!C39*'Sheet 2. County Level Data'!$P$4)</f>
        <v>#DIV/0!</v>
      </c>
      <c r="C39" s="29" t="e">
        <f>'Formula Calculations (LOCKED)'!H39/'Formula Calculations (LOCKED)'!$H$2*'Sheet 2. County Level Data'!$P$4</f>
        <v>#DIV/0!</v>
      </c>
      <c r="D39" s="29" t="e">
        <f>('Formula Calculations (LOCKED)'!L39/'Formula Calculations (LOCKED)'!$L$2)*'Sheet 2. County Level Data'!$P$4</f>
        <v>#DIV/0!</v>
      </c>
      <c r="E39" s="29" t="e">
        <f>('Formula Calculations (LOCKED)'!O39/'Formula Calculations (LOCKED)'!$O$2)*'Sheet 2. County Level Data'!$P$4</f>
        <v>#DIV/0!</v>
      </c>
      <c r="F39" s="29" t="e">
        <f>('Formula Calculations (LOCKED)'!D39/'Formula Calculations (LOCKED)'!$D$2)*'Sheet 2. County Level Data'!$P$4</f>
        <v>#DIV/0!</v>
      </c>
      <c r="G39" s="29" t="e">
        <f>'Sheet 2. County Level Data'!$T$11+(0.5*10000000)*'Formula Calculations (LOCKED)'!H39/'Formula Calculations (LOCKED)'!$H$2</f>
        <v>#DIV/0!</v>
      </c>
      <c r="H39" s="29" t="e">
        <f>(0.5*10000000)*'Formula Calculations (LOCKED)'!H39/'Formula Calculations (LOCKED)'!$H$2+(0.5*10000000)*'Formula Calculations (LOCKED)'!D39/'Formula Calculations (LOCKED)'!$D$2</f>
        <v>#DIV/0!</v>
      </c>
      <c r="I39" s="7" t="e">
        <f>'Sheet 2. County Level Data'!$T$12+(0.3333333333*10000000*('Formula Calculations (LOCKED)'!H39/'Formula Calculations (LOCKED)'!$H$2))+(0.3333333333*10000000*('Formula Calculations (LOCKED)'!D39/'Formula Calculations (LOCKED)'!$D$2))</f>
        <v>#DIV/0!</v>
      </c>
      <c r="J39" s="29" t="e">
        <f>'Sheet 2. County Level Data'!$T$13+(0.25*10000000*('Formula Calculations (LOCKED)'!H39/'Formula Calculations (LOCKED)'!$H$2))+(0.25*10000000*('Formula Calculations (LOCKED)'!D39/'Formula Calculations (LOCKED)'!$D$2))+(0.25*10000000*('Formula Calculations (LOCKED)'!L39/'Formula Calculations (LOCKED)'!$L$2))</f>
        <v>#DIV/0!</v>
      </c>
      <c r="K39" s="29" t="e">
        <f>'Sheet 2. County Level Data'!$T$13+(0.25*10000000*('Formula Calculations (LOCKED)'!H39/'Formula Calculations (LOCKED)'!$H$2))+(0.25*10000000*('Formula Calculations (LOCKED)'!D39/'Formula Calculations (LOCKED)'!$D$2))+(0.25*10000000*('Formula Calculations (LOCKED)'!O39/'Formula Calculations (LOCKED)'!$O$2))</f>
        <v>#DIV/0!</v>
      </c>
      <c r="L39" s="29" t="e">
        <f>IF('Formula Calculations (LOCKED)'!$G39=1,('Sheet 2. County Level Data'!$P$12*('Formula Calculations (LOCKED)'!K39/'Formula Calculations (LOCKED)'!$K$2)),((10000000-'Sheet 2. County Level Data'!$P$12)*'Formula Calculations (LOCKED)'!J39/'Formula Calculations (LOCKED)'!$J$2))</f>
        <v>#DIV/0!</v>
      </c>
      <c r="M39" s="29" t="e">
        <f>IF('Formula Calculations (LOCKED)'!$G39=1,((0.5*'Sheet 2. County Level Data'!$P$12)*('Formula Calculations (LOCKED)'!K39/'Formula Calculations (LOCKED)'!$K$2))+((0.5*'Sheet 2. County Level Data'!$P$12)*('Formula Calculations (LOCKED)'!N39/'Formula Calculations (LOCKED)'!$N$2)),((0.5*(10000000-'Sheet 2. County Level Data'!$P$12))*('Formula Calculations (LOCKED)'!J39/'Formula Calculations (LOCKED)'!$J$2))+((0.5*(10000000-'Sheet 2. County Level Data'!$P$12))*('Formula Calculations (LOCKED)'!M39/'Formula Calculations (LOCKED)'!$M$2)))</f>
        <v>#DIV/0!</v>
      </c>
      <c r="N39" s="29" t="e">
        <f>IF('Formula Calculations (LOCKED)'!$G39=1,((0.5*'Sheet 2. County Level Data'!$P$12)*('Formula Calculations (LOCKED)'!K39/'Formula Calculations (LOCKED)'!$K$2))+((0.5*'Sheet 2. County Level Data'!$P$12)*('Formula Calculations (LOCKED)'!R39/'Formula Calculations (LOCKED)'!$R$2)),((0.5*(10000000-'Sheet 2. County Level Data'!$P$12))*('Formula Calculations (LOCKED)'!J39/'Formula Calculations (LOCKED)'!$J$2))+((0.5*(10000000-'Sheet 2. County Level Data'!$P$12))*('Formula Calculations (LOCKED)'!Q39/'Formula Calculations (LOCKED)'!$Q$2)))</f>
        <v>#DIV/0!</v>
      </c>
    </row>
    <row r="40" spans="1:14" x14ac:dyDescent="0.2">
      <c r="A40" s="7">
        <f>'Sheet 2. County Level Data'!A38</f>
        <v>0</v>
      </c>
      <c r="B40" s="29" t="e">
        <f>('Formula Calculations (LOCKED)'!C40*'Sheet 2. County Level Data'!$P$4)</f>
        <v>#DIV/0!</v>
      </c>
      <c r="C40" s="29" t="e">
        <f>'Formula Calculations (LOCKED)'!H40/'Formula Calculations (LOCKED)'!$H$2*'Sheet 2. County Level Data'!$P$4</f>
        <v>#DIV/0!</v>
      </c>
      <c r="D40" s="29" t="e">
        <f>('Formula Calculations (LOCKED)'!L40/'Formula Calculations (LOCKED)'!$L$2)*'Sheet 2. County Level Data'!$P$4</f>
        <v>#DIV/0!</v>
      </c>
      <c r="E40" s="29" t="e">
        <f>('Formula Calculations (LOCKED)'!O40/'Formula Calculations (LOCKED)'!$O$2)*'Sheet 2. County Level Data'!$P$4</f>
        <v>#DIV/0!</v>
      </c>
      <c r="F40" s="29" t="e">
        <f>('Formula Calculations (LOCKED)'!D40/'Formula Calculations (LOCKED)'!$D$2)*'Sheet 2. County Level Data'!$P$4</f>
        <v>#DIV/0!</v>
      </c>
      <c r="G40" s="29" t="e">
        <f>'Sheet 2. County Level Data'!$T$11+(0.5*10000000)*'Formula Calculations (LOCKED)'!H40/'Formula Calculations (LOCKED)'!$H$2</f>
        <v>#DIV/0!</v>
      </c>
      <c r="H40" s="29" t="e">
        <f>(0.5*10000000)*'Formula Calculations (LOCKED)'!H40/'Formula Calculations (LOCKED)'!$H$2+(0.5*10000000)*'Formula Calculations (LOCKED)'!D40/'Formula Calculations (LOCKED)'!$D$2</f>
        <v>#DIV/0!</v>
      </c>
      <c r="I40" s="7" t="e">
        <f>'Sheet 2. County Level Data'!$T$12+(0.3333333333*10000000*('Formula Calculations (LOCKED)'!H40/'Formula Calculations (LOCKED)'!$H$2))+(0.3333333333*10000000*('Formula Calculations (LOCKED)'!D40/'Formula Calculations (LOCKED)'!$D$2))</f>
        <v>#DIV/0!</v>
      </c>
      <c r="J40" s="29" t="e">
        <f>'Sheet 2. County Level Data'!$T$13+(0.25*10000000*('Formula Calculations (LOCKED)'!H40/'Formula Calculations (LOCKED)'!$H$2))+(0.25*10000000*('Formula Calculations (LOCKED)'!D40/'Formula Calculations (LOCKED)'!$D$2))+(0.25*10000000*('Formula Calculations (LOCKED)'!L40/'Formula Calculations (LOCKED)'!$L$2))</f>
        <v>#DIV/0!</v>
      </c>
      <c r="K40" s="29" t="e">
        <f>'Sheet 2. County Level Data'!$T$13+(0.25*10000000*('Formula Calculations (LOCKED)'!H40/'Formula Calculations (LOCKED)'!$H$2))+(0.25*10000000*('Formula Calculations (LOCKED)'!D40/'Formula Calculations (LOCKED)'!$D$2))+(0.25*10000000*('Formula Calculations (LOCKED)'!O40/'Formula Calculations (LOCKED)'!$O$2))</f>
        <v>#DIV/0!</v>
      </c>
      <c r="L40" s="29" t="e">
        <f>IF('Formula Calculations (LOCKED)'!$G40=1,('Sheet 2. County Level Data'!$P$12*('Formula Calculations (LOCKED)'!K40/'Formula Calculations (LOCKED)'!$K$2)),((10000000-'Sheet 2. County Level Data'!$P$12)*'Formula Calculations (LOCKED)'!J40/'Formula Calculations (LOCKED)'!$J$2))</f>
        <v>#DIV/0!</v>
      </c>
      <c r="M40" s="29" t="e">
        <f>IF('Formula Calculations (LOCKED)'!$G40=1,((0.5*'Sheet 2. County Level Data'!$P$12)*('Formula Calculations (LOCKED)'!K40/'Formula Calculations (LOCKED)'!$K$2))+((0.5*'Sheet 2. County Level Data'!$P$12)*('Formula Calculations (LOCKED)'!N40/'Formula Calculations (LOCKED)'!$N$2)),((0.5*(10000000-'Sheet 2. County Level Data'!$P$12))*('Formula Calculations (LOCKED)'!J40/'Formula Calculations (LOCKED)'!$J$2))+((0.5*(10000000-'Sheet 2. County Level Data'!$P$12))*('Formula Calculations (LOCKED)'!M40/'Formula Calculations (LOCKED)'!$M$2)))</f>
        <v>#DIV/0!</v>
      </c>
      <c r="N40" s="29" t="e">
        <f>IF('Formula Calculations (LOCKED)'!$G40=1,((0.5*'Sheet 2. County Level Data'!$P$12)*('Formula Calculations (LOCKED)'!K40/'Formula Calculations (LOCKED)'!$K$2))+((0.5*'Sheet 2. County Level Data'!$P$12)*('Formula Calculations (LOCKED)'!R40/'Formula Calculations (LOCKED)'!$R$2)),((0.5*(10000000-'Sheet 2. County Level Data'!$P$12))*('Formula Calculations (LOCKED)'!J40/'Formula Calculations (LOCKED)'!$J$2))+((0.5*(10000000-'Sheet 2. County Level Data'!$P$12))*('Formula Calculations (LOCKED)'!Q40/'Formula Calculations (LOCKED)'!$Q$2)))</f>
        <v>#DIV/0!</v>
      </c>
    </row>
    <row r="41" spans="1:14" x14ac:dyDescent="0.2">
      <c r="A41" s="7">
        <f>'Sheet 2. County Level Data'!A39</f>
        <v>0</v>
      </c>
      <c r="B41" s="29" t="e">
        <f>('Formula Calculations (LOCKED)'!C41*'Sheet 2. County Level Data'!$P$4)</f>
        <v>#DIV/0!</v>
      </c>
      <c r="C41" s="29" t="e">
        <f>'Formula Calculations (LOCKED)'!H41/'Formula Calculations (LOCKED)'!$H$2*'Sheet 2. County Level Data'!$P$4</f>
        <v>#DIV/0!</v>
      </c>
      <c r="D41" s="29" t="e">
        <f>('Formula Calculations (LOCKED)'!L41/'Formula Calculations (LOCKED)'!$L$2)*'Sheet 2. County Level Data'!$P$4</f>
        <v>#DIV/0!</v>
      </c>
      <c r="E41" s="29" t="e">
        <f>('Formula Calculations (LOCKED)'!O41/'Formula Calculations (LOCKED)'!$O$2)*'Sheet 2. County Level Data'!$P$4</f>
        <v>#DIV/0!</v>
      </c>
      <c r="F41" s="29" t="e">
        <f>('Formula Calculations (LOCKED)'!D41/'Formula Calculations (LOCKED)'!$D$2)*'Sheet 2. County Level Data'!$P$4</f>
        <v>#DIV/0!</v>
      </c>
      <c r="G41" s="29" t="e">
        <f>'Sheet 2. County Level Data'!$T$11+(0.5*10000000)*'Formula Calculations (LOCKED)'!H41/'Formula Calculations (LOCKED)'!$H$2</f>
        <v>#DIV/0!</v>
      </c>
      <c r="H41" s="29" t="e">
        <f>(0.5*10000000)*'Formula Calculations (LOCKED)'!H41/'Formula Calculations (LOCKED)'!$H$2+(0.5*10000000)*'Formula Calculations (LOCKED)'!D41/'Formula Calculations (LOCKED)'!$D$2</f>
        <v>#DIV/0!</v>
      </c>
      <c r="I41" s="7" t="e">
        <f>'Sheet 2. County Level Data'!$T$12+(0.3333333333*10000000*('Formula Calculations (LOCKED)'!H41/'Formula Calculations (LOCKED)'!$H$2))+(0.3333333333*10000000*('Formula Calculations (LOCKED)'!D41/'Formula Calculations (LOCKED)'!$D$2))</f>
        <v>#DIV/0!</v>
      </c>
      <c r="J41" s="29" t="e">
        <f>'Sheet 2. County Level Data'!$T$13+(0.25*10000000*('Formula Calculations (LOCKED)'!H41/'Formula Calculations (LOCKED)'!$H$2))+(0.25*10000000*('Formula Calculations (LOCKED)'!D41/'Formula Calculations (LOCKED)'!$D$2))+(0.25*10000000*('Formula Calculations (LOCKED)'!L41/'Formula Calculations (LOCKED)'!$L$2))</f>
        <v>#DIV/0!</v>
      </c>
      <c r="K41" s="29" t="e">
        <f>'Sheet 2. County Level Data'!$T$13+(0.25*10000000*('Formula Calculations (LOCKED)'!H41/'Formula Calculations (LOCKED)'!$H$2))+(0.25*10000000*('Formula Calculations (LOCKED)'!D41/'Formula Calculations (LOCKED)'!$D$2))+(0.25*10000000*('Formula Calculations (LOCKED)'!O41/'Formula Calculations (LOCKED)'!$O$2))</f>
        <v>#DIV/0!</v>
      </c>
      <c r="L41" s="29" t="e">
        <f>IF('Formula Calculations (LOCKED)'!$G41=1,('Sheet 2. County Level Data'!$P$12*('Formula Calculations (LOCKED)'!K41/'Formula Calculations (LOCKED)'!$K$2)),((10000000-'Sheet 2. County Level Data'!$P$12)*'Formula Calculations (LOCKED)'!J41/'Formula Calculations (LOCKED)'!$J$2))</f>
        <v>#DIV/0!</v>
      </c>
      <c r="M41" s="29" t="e">
        <f>IF('Formula Calculations (LOCKED)'!$G41=1,((0.5*'Sheet 2. County Level Data'!$P$12)*('Formula Calculations (LOCKED)'!K41/'Formula Calculations (LOCKED)'!$K$2))+((0.5*'Sheet 2. County Level Data'!$P$12)*('Formula Calculations (LOCKED)'!N41/'Formula Calculations (LOCKED)'!$N$2)),((0.5*(10000000-'Sheet 2. County Level Data'!$P$12))*('Formula Calculations (LOCKED)'!J41/'Formula Calculations (LOCKED)'!$J$2))+((0.5*(10000000-'Sheet 2. County Level Data'!$P$12))*('Formula Calculations (LOCKED)'!M41/'Formula Calculations (LOCKED)'!$M$2)))</f>
        <v>#DIV/0!</v>
      </c>
      <c r="N41" s="29" t="e">
        <f>IF('Formula Calculations (LOCKED)'!$G41=1,((0.5*'Sheet 2. County Level Data'!$P$12)*('Formula Calculations (LOCKED)'!K41/'Formula Calculations (LOCKED)'!$K$2))+((0.5*'Sheet 2. County Level Data'!$P$12)*('Formula Calculations (LOCKED)'!R41/'Formula Calculations (LOCKED)'!$R$2)),((0.5*(10000000-'Sheet 2. County Level Data'!$P$12))*('Formula Calculations (LOCKED)'!J41/'Formula Calculations (LOCKED)'!$J$2))+((0.5*(10000000-'Sheet 2. County Level Data'!$P$12))*('Formula Calculations (LOCKED)'!Q41/'Formula Calculations (LOCKED)'!$Q$2)))</f>
        <v>#DIV/0!</v>
      </c>
    </row>
    <row r="42" spans="1:14" x14ac:dyDescent="0.2">
      <c r="A42" s="7">
        <f>'Sheet 2. County Level Data'!A40</f>
        <v>0</v>
      </c>
      <c r="B42" s="29" t="e">
        <f>('Formula Calculations (LOCKED)'!C42*'Sheet 2. County Level Data'!$P$4)</f>
        <v>#DIV/0!</v>
      </c>
      <c r="C42" s="29" t="e">
        <f>'Formula Calculations (LOCKED)'!H42/'Formula Calculations (LOCKED)'!$H$2*'Sheet 2. County Level Data'!$P$4</f>
        <v>#DIV/0!</v>
      </c>
      <c r="D42" s="29" t="e">
        <f>('Formula Calculations (LOCKED)'!L42/'Formula Calculations (LOCKED)'!$L$2)*'Sheet 2. County Level Data'!$P$4</f>
        <v>#DIV/0!</v>
      </c>
      <c r="E42" s="29" t="e">
        <f>('Formula Calculations (LOCKED)'!O42/'Formula Calculations (LOCKED)'!$O$2)*'Sheet 2. County Level Data'!$P$4</f>
        <v>#DIV/0!</v>
      </c>
      <c r="F42" s="29" t="e">
        <f>('Formula Calculations (LOCKED)'!D42/'Formula Calculations (LOCKED)'!$D$2)*'Sheet 2. County Level Data'!$P$4</f>
        <v>#DIV/0!</v>
      </c>
      <c r="G42" s="29" t="e">
        <f>'Sheet 2. County Level Data'!$T$11+(0.5*10000000)*'Formula Calculations (LOCKED)'!H42/'Formula Calculations (LOCKED)'!$H$2</f>
        <v>#DIV/0!</v>
      </c>
      <c r="H42" s="29" t="e">
        <f>(0.5*10000000)*'Formula Calculations (LOCKED)'!H42/'Formula Calculations (LOCKED)'!$H$2+(0.5*10000000)*'Formula Calculations (LOCKED)'!D42/'Formula Calculations (LOCKED)'!$D$2</f>
        <v>#DIV/0!</v>
      </c>
      <c r="I42" s="7" t="e">
        <f>'Sheet 2. County Level Data'!$T$12+(0.3333333333*10000000*('Formula Calculations (LOCKED)'!H42/'Formula Calculations (LOCKED)'!$H$2))+(0.3333333333*10000000*('Formula Calculations (LOCKED)'!D42/'Formula Calculations (LOCKED)'!$D$2))</f>
        <v>#DIV/0!</v>
      </c>
      <c r="J42" s="29" t="e">
        <f>'Sheet 2. County Level Data'!$T$13+(0.25*10000000*('Formula Calculations (LOCKED)'!H42/'Formula Calculations (LOCKED)'!$H$2))+(0.25*10000000*('Formula Calculations (LOCKED)'!D42/'Formula Calculations (LOCKED)'!$D$2))+(0.25*10000000*('Formula Calculations (LOCKED)'!L42/'Formula Calculations (LOCKED)'!$L$2))</f>
        <v>#DIV/0!</v>
      </c>
      <c r="K42" s="29" t="e">
        <f>'Sheet 2. County Level Data'!$T$13+(0.25*10000000*('Formula Calculations (LOCKED)'!H42/'Formula Calculations (LOCKED)'!$H$2))+(0.25*10000000*('Formula Calculations (LOCKED)'!D42/'Formula Calculations (LOCKED)'!$D$2))+(0.25*10000000*('Formula Calculations (LOCKED)'!O42/'Formula Calculations (LOCKED)'!$O$2))</f>
        <v>#DIV/0!</v>
      </c>
      <c r="L42" s="29" t="e">
        <f>IF('Formula Calculations (LOCKED)'!$G42=1,('Sheet 2. County Level Data'!$P$12*('Formula Calculations (LOCKED)'!K42/'Formula Calculations (LOCKED)'!$K$2)),((10000000-'Sheet 2. County Level Data'!$P$12)*'Formula Calculations (LOCKED)'!J42/'Formula Calculations (LOCKED)'!$J$2))</f>
        <v>#DIV/0!</v>
      </c>
      <c r="M42" s="29" t="e">
        <f>IF('Formula Calculations (LOCKED)'!$G42=1,((0.5*'Sheet 2. County Level Data'!$P$12)*('Formula Calculations (LOCKED)'!K42/'Formula Calculations (LOCKED)'!$K$2))+((0.5*'Sheet 2. County Level Data'!$P$12)*('Formula Calculations (LOCKED)'!N42/'Formula Calculations (LOCKED)'!$N$2)),((0.5*(10000000-'Sheet 2. County Level Data'!$P$12))*('Formula Calculations (LOCKED)'!J42/'Formula Calculations (LOCKED)'!$J$2))+((0.5*(10000000-'Sheet 2. County Level Data'!$P$12))*('Formula Calculations (LOCKED)'!M42/'Formula Calculations (LOCKED)'!$M$2)))</f>
        <v>#DIV/0!</v>
      </c>
      <c r="N42" s="29" t="e">
        <f>IF('Formula Calculations (LOCKED)'!$G42=1,((0.5*'Sheet 2. County Level Data'!$P$12)*('Formula Calculations (LOCKED)'!K42/'Formula Calculations (LOCKED)'!$K$2))+((0.5*'Sheet 2. County Level Data'!$P$12)*('Formula Calculations (LOCKED)'!R42/'Formula Calculations (LOCKED)'!$R$2)),((0.5*(10000000-'Sheet 2. County Level Data'!$P$12))*('Formula Calculations (LOCKED)'!J42/'Formula Calculations (LOCKED)'!$J$2))+((0.5*(10000000-'Sheet 2. County Level Data'!$P$12))*('Formula Calculations (LOCKED)'!Q42/'Formula Calculations (LOCKED)'!$Q$2)))</f>
        <v>#DIV/0!</v>
      </c>
    </row>
    <row r="43" spans="1:14" x14ac:dyDescent="0.2">
      <c r="A43" s="7">
        <f>'Sheet 2. County Level Data'!A41</f>
        <v>0</v>
      </c>
      <c r="B43" s="29" t="e">
        <f>('Formula Calculations (LOCKED)'!C43*'Sheet 2. County Level Data'!$P$4)</f>
        <v>#DIV/0!</v>
      </c>
      <c r="C43" s="29" t="e">
        <f>'Formula Calculations (LOCKED)'!H43/'Formula Calculations (LOCKED)'!$H$2*'Sheet 2. County Level Data'!$P$4</f>
        <v>#DIV/0!</v>
      </c>
      <c r="D43" s="29" t="e">
        <f>('Formula Calculations (LOCKED)'!L43/'Formula Calculations (LOCKED)'!$L$2)*'Sheet 2. County Level Data'!$P$4</f>
        <v>#DIV/0!</v>
      </c>
      <c r="E43" s="29" t="e">
        <f>('Formula Calculations (LOCKED)'!O43/'Formula Calculations (LOCKED)'!$O$2)*'Sheet 2. County Level Data'!$P$4</f>
        <v>#DIV/0!</v>
      </c>
      <c r="F43" s="29" t="e">
        <f>('Formula Calculations (LOCKED)'!D43/'Formula Calculations (LOCKED)'!$D$2)*'Sheet 2. County Level Data'!$P$4</f>
        <v>#DIV/0!</v>
      </c>
      <c r="G43" s="29" t="e">
        <f>'Sheet 2. County Level Data'!$T$11+(0.5*10000000)*'Formula Calculations (LOCKED)'!H43/'Formula Calculations (LOCKED)'!$H$2</f>
        <v>#DIV/0!</v>
      </c>
      <c r="H43" s="29" t="e">
        <f>(0.5*10000000)*'Formula Calculations (LOCKED)'!H43/'Formula Calculations (LOCKED)'!$H$2+(0.5*10000000)*'Formula Calculations (LOCKED)'!D43/'Formula Calculations (LOCKED)'!$D$2</f>
        <v>#DIV/0!</v>
      </c>
      <c r="I43" s="7" t="e">
        <f>'Sheet 2. County Level Data'!$T$12+(0.3333333333*10000000*('Formula Calculations (LOCKED)'!H43/'Formula Calculations (LOCKED)'!$H$2))+(0.3333333333*10000000*('Formula Calculations (LOCKED)'!D43/'Formula Calculations (LOCKED)'!$D$2))</f>
        <v>#DIV/0!</v>
      </c>
      <c r="J43" s="29" t="e">
        <f>'Sheet 2. County Level Data'!$T$13+(0.25*10000000*('Formula Calculations (LOCKED)'!H43/'Formula Calculations (LOCKED)'!$H$2))+(0.25*10000000*('Formula Calculations (LOCKED)'!D43/'Formula Calculations (LOCKED)'!$D$2))+(0.25*10000000*('Formula Calculations (LOCKED)'!L43/'Formula Calculations (LOCKED)'!$L$2))</f>
        <v>#DIV/0!</v>
      </c>
      <c r="K43" s="29" t="e">
        <f>'Sheet 2. County Level Data'!$T$13+(0.25*10000000*('Formula Calculations (LOCKED)'!H43/'Formula Calculations (LOCKED)'!$H$2))+(0.25*10000000*('Formula Calculations (LOCKED)'!D43/'Formula Calculations (LOCKED)'!$D$2))+(0.25*10000000*('Formula Calculations (LOCKED)'!O43/'Formula Calculations (LOCKED)'!$O$2))</f>
        <v>#DIV/0!</v>
      </c>
      <c r="L43" s="29" t="e">
        <f>IF('Formula Calculations (LOCKED)'!$G43=1,('Sheet 2. County Level Data'!$P$12*('Formula Calculations (LOCKED)'!K43/'Formula Calculations (LOCKED)'!$K$2)),((10000000-'Sheet 2. County Level Data'!$P$12)*'Formula Calculations (LOCKED)'!J43/'Formula Calculations (LOCKED)'!$J$2))</f>
        <v>#DIV/0!</v>
      </c>
      <c r="M43" s="29" t="e">
        <f>IF('Formula Calculations (LOCKED)'!$G43=1,((0.5*'Sheet 2. County Level Data'!$P$12)*('Formula Calculations (LOCKED)'!K43/'Formula Calculations (LOCKED)'!$K$2))+((0.5*'Sheet 2. County Level Data'!$P$12)*('Formula Calculations (LOCKED)'!N43/'Formula Calculations (LOCKED)'!$N$2)),((0.5*(10000000-'Sheet 2. County Level Data'!$P$12))*('Formula Calculations (LOCKED)'!J43/'Formula Calculations (LOCKED)'!$J$2))+((0.5*(10000000-'Sheet 2. County Level Data'!$P$12))*('Formula Calculations (LOCKED)'!M43/'Formula Calculations (LOCKED)'!$M$2)))</f>
        <v>#DIV/0!</v>
      </c>
      <c r="N43" s="29" t="e">
        <f>IF('Formula Calculations (LOCKED)'!$G43=1,((0.5*'Sheet 2. County Level Data'!$P$12)*('Formula Calculations (LOCKED)'!K43/'Formula Calculations (LOCKED)'!$K$2))+((0.5*'Sheet 2. County Level Data'!$P$12)*('Formula Calculations (LOCKED)'!R43/'Formula Calculations (LOCKED)'!$R$2)),((0.5*(10000000-'Sheet 2. County Level Data'!$P$12))*('Formula Calculations (LOCKED)'!J43/'Formula Calculations (LOCKED)'!$J$2))+((0.5*(10000000-'Sheet 2. County Level Data'!$P$12))*('Formula Calculations (LOCKED)'!Q43/'Formula Calculations (LOCKED)'!$Q$2)))</f>
        <v>#DIV/0!</v>
      </c>
    </row>
    <row r="44" spans="1:14" x14ac:dyDescent="0.2">
      <c r="A44" s="7">
        <f>'Sheet 2. County Level Data'!A42</f>
        <v>0</v>
      </c>
      <c r="B44" s="29" t="e">
        <f>('Formula Calculations (LOCKED)'!C44*'Sheet 2. County Level Data'!$P$4)</f>
        <v>#DIV/0!</v>
      </c>
      <c r="C44" s="29" t="e">
        <f>'Formula Calculations (LOCKED)'!H44/'Formula Calculations (LOCKED)'!$H$2*'Sheet 2. County Level Data'!$P$4</f>
        <v>#DIV/0!</v>
      </c>
      <c r="D44" s="29" t="e">
        <f>('Formula Calculations (LOCKED)'!L44/'Formula Calculations (LOCKED)'!$L$2)*'Sheet 2. County Level Data'!$P$4</f>
        <v>#DIV/0!</v>
      </c>
      <c r="E44" s="29" t="e">
        <f>('Formula Calculations (LOCKED)'!O44/'Formula Calculations (LOCKED)'!$O$2)*'Sheet 2. County Level Data'!$P$4</f>
        <v>#DIV/0!</v>
      </c>
      <c r="F44" s="29" t="e">
        <f>('Formula Calculations (LOCKED)'!D44/'Formula Calculations (LOCKED)'!$D$2)*'Sheet 2. County Level Data'!$P$4</f>
        <v>#DIV/0!</v>
      </c>
      <c r="G44" s="29" t="e">
        <f>'Sheet 2. County Level Data'!$T$11+(0.5*10000000)*'Formula Calculations (LOCKED)'!H44/'Formula Calculations (LOCKED)'!$H$2</f>
        <v>#DIV/0!</v>
      </c>
      <c r="H44" s="29" t="e">
        <f>(0.5*10000000)*'Formula Calculations (LOCKED)'!H44/'Formula Calculations (LOCKED)'!$H$2+(0.5*10000000)*'Formula Calculations (LOCKED)'!D44/'Formula Calculations (LOCKED)'!$D$2</f>
        <v>#DIV/0!</v>
      </c>
      <c r="I44" s="7" t="e">
        <f>'Sheet 2. County Level Data'!$T$12+(0.3333333333*10000000*('Formula Calculations (LOCKED)'!H44/'Formula Calculations (LOCKED)'!$H$2))+(0.3333333333*10000000*('Formula Calculations (LOCKED)'!D44/'Formula Calculations (LOCKED)'!$D$2))</f>
        <v>#DIV/0!</v>
      </c>
      <c r="J44" s="29" t="e">
        <f>'Sheet 2. County Level Data'!$T$13+(0.25*10000000*('Formula Calculations (LOCKED)'!H44/'Formula Calculations (LOCKED)'!$H$2))+(0.25*10000000*('Formula Calculations (LOCKED)'!D44/'Formula Calculations (LOCKED)'!$D$2))+(0.25*10000000*('Formula Calculations (LOCKED)'!L44/'Formula Calculations (LOCKED)'!$L$2))</f>
        <v>#DIV/0!</v>
      </c>
      <c r="K44" s="29" t="e">
        <f>'Sheet 2. County Level Data'!$T$13+(0.25*10000000*('Formula Calculations (LOCKED)'!H44/'Formula Calculations (LOCKED)'!$H$2))+(0.25*10000000*('Formula Calculations (LOCKED)'!D44/'Formula Calculations (LOCKED)'!$D$2))+(0.25*10000000*('Formula Calculations (LOCKED)'!O44/'Formula Calculations (LOCKED)'!$O$2))</f>
        <v>#DIV/0!</v>
      </c>
      <c r="L44" s="29" t="e">
        <f>IF('Formula Calculations (LOCKED)'!$G44=1,('Sheet 2. County Level Data'!$P$12*('Formula Calculations (LOCKED)'!K44/'Formula Calculations (LOCKED)'!$K$2)),((10000000-'Sheet 2. County Level Data'!$P$12)*'Formula Calculations (LOCKED)'!J44/'Formula Calculations (LOCKED)'!$J$2))</f>
        <v>#DIV/0!</v>
      </c>
      <c r="M44" s="29" t="e">
        <f>IF('Formula Calculations (LOCKED)'!$G44=1,((0.5*'Sheet 2. County Level Data'!$P$12)*('Formula Calculations (LOCKED)'!K44/'Formula Calculations (LOCKED)'!$K$2))+((0.5*'Sheet 2. County Level Data'!$P$12)*('Formula Calculations (LOCKED)'!N44/'Formula Calculations (LOCKED)'!$N$2)),((0.5*(10000000-'Sheet 2. County Level Data'!$P$12))*('Formula Calculations (LOCKED)'!J44/'Formula Calculations (LOCKED)'!$J$2))+((0.5*(10000000-'Sheet 2. County Level Data'!$P$12))*('Formula Calculations (LOCKED)'!M44/'Formula Calculations (LOCKED)'!$M$2)))</f>
        <v>#DIV/0!</v>
      </c>
      <c r="N44" s="29" t="e">
        <f>IF('Formula Calculations (LOCKED)'!$G44=1,((0.5*'Sheet 2. County Level Data'!$P$12)*('Formula Calculations (LOCKED)'!K44/'Formula Calculations (LOCKED)'!$K$2))+((0.5*'Sheet 2. County Level Data'!$P$12)*('Formula Calculations (LOCKED)'!R44/'Formula Calculations (LOCKED)'!$R$2)),((0.5*(10000000-'Sheet 2. County Level Data'!$P$12))*('Formula Calculations (LOCKED)'!J44/'Formula Calculations (LOCKED)'!$J$2))+((0.5*(10000000-'Sheet 2. County Level Data'!$P$12))*('Formula Calculations (LOCKED)'!Q44/'Formula Calculations (LOCKED)'!$Q$2)))</f>
        <v>#DIV/0!</v>
      </c>
    </row>
    <row r="45" spans="1:14" x14ac:dyDescent="0.2">
      <c r="A45" s="7">
        <f>'Sheet 2. County Level Data'!A43</f>
        <v>0</v>
      </c>
      <c r="B45" s="29" t="e">
        <f>('Formula Calculations (LOCKED)'!C45*'Sheet 2. County Level Data'!$P$4)</f>
        <v>#DIV/0!</v>
      </c>
      <c r="C45" s="29" t="e">
        <f>'Formula Calculations (LOCKED)'!H45/'Formula Calculations (LOCKED)'!$H$2*'Sheet 2. County Level Data'!$P$4</f>
        <v>#DIV/0!</v>
      </c>
      <c r="D45" s="29" t="e">
        <f>('Formula Calculations (LOCKED)'!L45/'Formula Calculations (LOCKED)'!$L$2)*'Sheet 2. County Level Data'!$P$4</f>
        <v>#DIV/0!</v>
      </c>
      <c r="E45" s="29" t="e">
        <f>('Formula Calculations (LOCKED)'!O45/'Formula Calculations (LOCKED)'!$O$2)*'Sheet 2. County Level Data'!$P$4</f>
        <v>#DIV/0!</v>
      </c>
      <c r="F45" s="29" t="e">
        <f>('Formula Calculations (LOCKED)'!D45/'Formula Calculations (LOCKED)'!$D$2)*'Sheet 2. County Level Data'!$P$4</f>
        <v>#DIV/0!</v>
      </c>
      <c r="G45" s="29" t="e">
        <f>'Sheet 2. County Level Data'!$T$11+(0.5*10000000)*'Formula Calculations (LOCKED)'!H45/'Formula Calculations (LOCKED)'!$H$2</f>
        <v>#DIV/0!</v>
      </c>
      <c r="H45" s="29" t="e">
        <f>(0.5*10000000)*'Formula Calculations (LOCKED)'!H45/'Formula Calculations (LOCKED)'!$H$2+(0.5*10000000)*'Formula Calculations (LOCKED)'!D45/'Formula Calculations (LOCKED)'!$D$2</f>
        <v>#DIV/0!</v>
      </c>
      <c r="I45" s="7" t="e">
        <f>'Sheet 2. County Level Data'!$T$12+(0.3333333333*10000000*('Formula Calculations (LOCKED)'!H45/'Formula Calculations (LOCKED)'!$H$2))+(0.3333333333*10000000*('Formula Calculations (LOCKED)'!D45/'Formula Calculations (LOCKED)'!$D$2))</f>
        <v>#DIV/0!</v>
      </c>
      <c r="J45" s="29" t="e">
        <f>'Sheet 2. County Level Data'!$T$13+(0.25*10000000*('Formula Calculations (LOCKED)'!H45/'Formula Calculations (LOCKED)'!$H$2))+(0.25*10000000*('Formula Calculations (LOCKED)'!D45/'Formula Calculations (LOCKED)'!$D$2))+(0.25*10000000*('Formula Calculations (LOCKED)'!L45/'Formula Calculations (LOCKED)'!$L$2))</f>
        <v>#DIV/0!</v>
      </c>
      <c r="K45" s="29" t="e">
        <f>'Sheet 2. County Level Data'!$T$13+(0.25*10000000*('Formula Calculations (LOCKED)'!H45/'Formula Calculations (LOCKED)'!$H$2))+(0.25*10000000*('Formula Calculations (LOCKED)'!D45/'Formula Calculations (LOCKED)'!$D$2))+(0.25*10000000*('Formula Calculations (LOCKED)'!O45/'Formula Calculations (LOCKED)'!$O$2))</f>
        <v>#DIV/0!</v>
      </c>
      <c r="L45" s="29" t="e">
        <f>IF('Formula Calculations (LOCKED)'!$G45=1,('Sheet 2. County Level Data'!$P$12*('Formula Calculations (LOCKED)'!K45/'Formula Calculations (LOCKED)'!$K$2)),((10000000-'Sheet 2. County Level Data'!$P$12)*'Formula Calculations (LOCKED)'!J45/'Formula Calculations (LOCKED)'!$J$2))</f>
        <v>#DIV/0!</v>
      </c>
      <c r="M45" s="29" t="e">
        <f>IF('Formula Calculations (LOCKED)'!$G45=1,((0.5*'Sheet 2. County Level Data'!$P$12)*('Formula Calculations (LOCKED)'!K45/'Formula Calculations (LOCKED)'!$K$2))+((0.5*'Sheet 2. County Level Data'!$P$12)*('Formula Calculations (LOCKED)'!N45/'Formula Calculations (LOCKED)'!$N$2)),((0.5*(10000000-'Sheet 2. County Level Data'!$P$12))*('Formula Calculations (LOCKED)'!J45/'Formula Calculations (LOCKED)'!$J$2))+((0.5*(10000000-'Sheet 2. County Level Data'!$P$12))*('Formula Calculations (LOCKED)'!M45/'Formula Calculations (LOCKED)'!$M$2)))</f>
        <v>#DIV/0!</v>
      </c>
      <c r="N45" s="29" t="e">
        <f>IF('Formula Calculations (LOCKED)'!$G45=1,((0.5*'Sheet 2. County Level Data'!$P$12)*('Formula Calculations (LOCKED)'!K45/'Formula Calculations (LOCKED)'!$K$2))+((0.5*'Sheet 2. County Level Data'!$P$12)*('Formula Calculations (LOCKED)'!R45/'Formula Calculations (LOCKED)'!$R$2)),((0.5*(10000000-'Sheet 2. County Level Data'!$P$12))*('Formula Calculations (LOCKED)'!J45/'Formula Calculations (LOCKED)'!$J$2))+((0.5*(10000000-'Sheet 2. County Level Data'!$P$12))*('Formula Calculations (LOCKED)'!Q45/'Formula Calculations (LOCKED)'!$Q$2)))</f>
        <v>#DIV/0!</v>
      </c>
    </row>
    <row r="46" spans="1:14" x14ac:dyDescent="0.2">
      <c r="A46" s="7">
        <f>'Sheet 2. County Level Data'!A44</f>
        <v>0</v>
      </c>
      <c r="B46" s="29" t="e">
        <f>('Formula Calculations (LOCKED)'!C46*'Sheet 2. County Level Data'!$P$4)</f>
        <v>#DIV/0!</v>
      </c>
      <c r="C46" s="29" t="e">
        <f>'Formula Calculations (LOCKED)'!H46/'Formula Calculations (LOCKED)'!$H$2*'Sheet 2. County Level Data'!$P$4</f>
        <v>#DIV/0!</v>
      </c>
      <c r="D46" s="29" t="e">
        <f>('Formula Calculations (LOCKED)'!L46/'Formula Calculations (LOCKED)'!$L$2)*'Sheet 2. County Level Data'!$P$4</f>
        <v>#DIV/0!</v>
      </c>
      <c r="E46" s="29" t="e">
        <f>('Formula Calculations (LOCKED)'!O46/'Formula Calculations (LOCKED)'!$O$2)*'Sheet 2. County Level Data'!$P$4</f>
        <v>#DIV/0!</v>
      </c>
      <c r="F46" s="29" t="e">
        <f>('Formula Calculations (LOCKED)'!D46/'Formula Calculations (LOCKED)'!$D$2)*'Sheet 2. County Level Data'!$P$4</f>
        <v>#DIV/0!</v>
      </c>
      <c r="G46" s="29" t="e">
        <f>'Sheet 2. County Level Data'!$T$11+(0.5*10000000)*'Formula Calculations (LOCKED)'!H46/'Formula Calculations (LOCKED)'!$H$2</f>
        <v>#DIV/0!</v>
      </c>
      <c r="H46" s="29" t="e">
        <f>(0.5*10000000)*'Formula Calculations (LOCKED)'!H46/'Formula Calculations (LOCKED)'!$H$2+(0.5*10000000)*'Formula Calculations (LOCKED)'!D46/'Formula Calculations (LOCKED)'!$D$2</f>
        <v>#DIV/0!</v>
      </c>
      <c r="I46" s="7" t="e">
        <f>'Sheet 2. County Level Data'!$T$12+(0.3333333333*10000000*('Formula Calculations (LOCKED)'!H46/'Formula Calculations (LOCKED)'!$H$2))+(0.3333333333*10000000*('Formula Calculations (LOCKED)'!D46/'Formula Calculations (LOCKED)'!$D$2))</f>
        <v>#DIV/0!</v>
      </c>
      <c r="J46" s="29" t="e">
        <f>'Sheet 2. County Level Data'!$T$13+(0.25*10000000*('Formula Calculations (LOCKED)'!H46/'Formula Calculations (LOCKED)'!$H$2))+(0.25*10000000*('Formula Calculations (LOCKED)'!D46/'Formula Calculations (LOCKED)'!$D$2))+(0.25*10000000*('Formula Calculations (LOCKED)'!L46/'Formula Calculations (LOCKED)'!$L$2))</f>
        <v>#DIV/0!</v>
      </c>
      <c r="K46" s="29" t="e">
        <f>'Sheet 2. County Level Data'!$T$13+(0.25*10000000*('Formula Calculations (LOCKED)'!H46/'Formula Calculations (LOCKED)'!$H$2))+(0.25*10000000*('Formula Calculations (LOCKED)'!D46/'Formula Calculations (LOCKED)'!$D$2))+(0.25*10000000*('Formula Calculations (LOCKED)'!O46/'Formula Calculations (LOCKED)'!$O$2))</f>
        <v>#DIV/0!</v>
      </c>
      <c r="L46" s="29" t="e">
        <f>IF('Formula Calculations (LOCKED)'!$G46=1,('Sheet 2. County Level Data'!$P$12*('Formula Calculations (LOCKED)'!K46/'Formula Calculations (LOCKED)'!$K$2)),((10000000-'Sheet 2. County Level Data'!$P$12)*'Formula Calculations (LOCKED)'!J46/'Formula Calculations (LOCKED)'!$J$2))</f>
        <v>#DIV/0!</v>
      </c>
      <c r="M46" s="29" t="e">
        <f>IF('Formula Calculations (LOCKED)'!$G46=1,((0.5*'Sheet 2. County Level Data'!$P$12)*('Formula Calculations (LOCKED)'!K46/'Formula Calculations (LOCKED)'!$K$2))+((0.5*'Sheet 2. County Level Data'!$P$12)*('Formula Calculations (LOCKED)'!N46/'Formula Calculations (LOCKED)'!$N$2)),((0.5*(10000000-'Sheet 2. County Level Data'!$P$12))*('Formula Calculations (LOCKED)'!J46/'Formula Calculations (LOCKED)'!$J$2))+((0.5*(10000000-'Sheet 2. County Level Data'!$P$12))*('Formula Calculations (LOCKED)'!M46/'Formula Calculations (LOCKED)'!$M$2)))</f>
        <v>#DIV/0!</v>
      </c>
      <c r="N46" s="29" t="e">
        <f>IF('Formula Calculations (LOCKED)'!$G46=1,((0.5*'Sheet 2. County Level Data'!$P$12)*('Formula Calculations (LOCKED)'!K46/'Formula Calculations (LOCKED)'!$K$2))+((0.5*'Sheet 2. County Level Data'!$P$12)*('Formula Calculations (LOCKED)'!R46/'Formula Calculations (LOCKED)'!$R$2)),((0.5*(10000000-'Sheet 2. County Level Data'!$P$12))*('Formula Calculations (LOCKED)'!J46/'Formula Calculations (LOCKED)'!$J$2))+((0.5*(10000000-'Sheet 2. County Level Data'!$P$12))*('Formula Calculations (LOCKED)'!Q46/'Formula Calculations (LOCKED)'!$Q$2)))</f>
        <v>#DIV/0!</v>
      </c>
    </row>
    <row r="47" spans="1:14" x14ac:dyDescent="0.2">
      <c r="A47" s="7">
        <f>'Sheet 2. County Level Data'!A45</f>
        <v>0</v>
      </c>
      <c r="B47" s="29" t="e">
        <f>('Formula Calculations (LOCKED)'!C47*'Sheet 2. County Level Data'!$P$4)</f>
        <v>#DIV/0!</v>
      </c>
      <c r="C47" s="29" t="e">
        <f>'Formula Calculations (LOCKED)'!H47/'Formula Calculations (LOCKED)'!$H$2*'Sheet 2. County Level Data'!$P$4</f>
        <v>#DIV/0!</v>
      </c>
      <c r="D47" s="29" t="e">
        <f>('Formula Calculations (LOCKED)'!L47/'Formula Calculations (LOCKED)'!$L$2)*'Sheet 2. County Level Data'!$P$4</f>
        <v>#DIV/0!</v>
      </c>
      <c r="E47" s="29" t="e">
        <f>('Formula Calculations (LOCKED)'!O47/'Formula Calculations (LOCKED)'!$O$2)*'Sheet 2. County Level Data'!$P$4</f>
        <v>#DIV/0!</v>
      </c>
      <c r="F47" s="29" t="e">
        <f>('Formula Calculations (LOCKED)'!D47/'Formula Calculations (LOCKED)'!$D$2)*'Sheet 2. County Level Data'!$P$4</f>
        <v>#DIV/0!</v>
      </c>
      <c r="G47" s="29" t="e">
        <f>'Sheet 2. County Level Data'!$T$11+(0.5*10000000)*'Formula Calculations (LOCKED)'!H47/'Formula Calculations (LOCKED)'!$H$2</f>
        <v>#DIV/0!</v>
      </c>
      <c r="H47" s="29" t="e">
        <f>(0.5*10000000)*'Formula Calculations (LOCKED)'!H47/'Formula Calculations (LOCKED)'!$H$2+(0.5*10000000)*'Formula Calculations (LOCKED)'!D47/'Formula Calculations (LOCKED)'!$D$2</f>
        <v>#DIV/0!</v>
      </c>
      <c r="I47" s="7" t="e">
        <f>'Sheet 2. County Level Data'!$T$12+(0.3333333333*10000000*('Formula Calculations (LOCKED)'!H47/'Formula Calculations (LOCKED)'!$H$2))+(0.3333333333*10000000*('Formula Calculations (LOCKED)'!D47/'Formula Calculations (LOCKED)'!$D$2))</f>
        <v>#DIV/0!</v>
      </c>
      <c r="J47" s="29" t="e">
        <f>'Sheet 2. County Level Data'!$T$13+(0.25*10000000*('Formula Calculations (LOCKED)'!H47/'Formula Calculations (LOCKED)'!$H$2))+(0.25*10000000*('Formula Calculations (LOCKED)'!D47/'Formula Calculations (LOCKED)'!$D$2))+(0.25*10000000*('Formula Calculations (LOCKED)'!L47/'Formula Calculations (LOCKED)'!$L$2))</f>
        <v>#DIV/0!</v>
      </c>
      <c r="K47" s="29" t="e">
        <f>'Sheet 2. County Level Data'!$T$13+(0.25*10000000*('Formula Calculations (LOCKED)'!H47/'Formula Calculations (LOCKED)'!$H$2))+(0.25*10000000*('Formula Calculations (LOCKED)'!D47/'Formula Calculations (LOCKED)'!$D$2))+(0.25*10000000*('Formula Calculations (LOCKED)'!O47/'Formula Calculations (LOCKED)'!$O$2))</f>
        <v>#DIV/0!</v>
      </c>
      <c r="L47" s="29" t="e">
        <f>IF('Formula Calculations (LOCKED)'!$G47=1,('Sheet 2. County Level Data'!$P$12*('Formula Calculations (LOCKED)'!K47/'Formula Calculations (LOCKED)'!$K$2)),((10000000-'Sheet 2. County Level Data'!$P$12)*'Formula Calculations (LOCKED)'!J47/'Formula Calculations (LOCKED)'!$J$2))</f>
        <v>#DIV/0!</v>
      </c>
      <c r="M47" s="29" t="e">
        <f>IF('Formula Calculations (LOCKED)'!$G47=1,((0.5*'Sheet 2. County Level Data'!$P$12)*('Formula Calculations (LOCKED)'!K47/'Formula Calculations (LOCKED)'!$K$2))+((0.5*'Sheet 2. County Level Data'!$P$12)*('Formula Calculations (LOCKED)'!N47/'Formula Calculations (LOCKED)'!$N$2)),((0.5*(10000000-'Sheet 2. County Level Data'!$P$12))*('Formula Calculations (LOCKED)'!J47/'Formula Calculations (LOCKED)'!$J$2))+((0.5*(10000000-'Sheet 2. County Level Data'!$P$12))*('Formula Calculations (LOCKED)'!M47/'Formula Calculations (LOCKED)'!$M$2)))</f>
        <v>#DIV/0!</v>
      </c>
      <c r="N47" s="29" t="e">
        <f>IF('Formula Calculations (LOCKED)'!$G47=1,((0.5*'Sheet 2. County Level Data'!$P$12)*('Formula Calculations (LOCKED)'!K47/'Formula Calculations (LOCKED)'!$K$2))+((0.5*'Sheet 2. County Level Data'!$P$12)*('Formula Calculations (LOCKED)'!R47/'Formula Calculations (LOCKED)'!$R$2)),((0.5*(10000000-'Sheet 2. County Level Data'!$P$12))*('Formula Calculations (LOCKED)'!J47/'Formula Calculations (LOCKED)'!$J$2))+((0.5*(10000000-'Sheet 2. County Level Data'!$P$12))*('Formula Calculations (LOCKED)'!Q47/'Formula Calculations (LOCKED)'!$Q$2)))</f>
        <v>#DIV/0!</v>
      </c>
    </row>
    <row r="48" spans="1:14" x14ac:dyDescent="0.2">
      <c r="A48" s="7">
        <f>'Sheet 2. County Level Data'!A46</f>
        <v>0</v>
      </c>
      <c r="B48" s="29" t="e">
        <f>('Formula Calculations (LOCKED)'!C48*'Sheet 2. County Level Data'!$P$4)</f>
        <v>#DIV/0!</v>
      </c>
      <c r="C48" s="29" t="e">
        <f>'Formula Calculations (LOCKED)'!H48/'Formula Calculations (LOCKED)'!$H$2*'Sheet 2. County Level Data'!$P$4</f>
        <v>#DIV/0!</v>
      </c>
      <c r="D48" s="29" t="e">
        <f>('Formula Calculations (LOCKED)'!L48/'Formula Calculations (LOCKED)'!$L$2)*'Sheet 2. County Level Data'!$P$4</f>
        <v>#DIV/0!</v>
      </c>
      <c r="E48" s="29" t="e">
        <f>('Formula Calculations (LOCKED)'!O48/'Formula Calculations (LOCKED)'!$O$2)*'Sheet 2. County Level Data'!$P$4</f>
        <v>#DIV/0!</v>
      </c>
      <c r="F48" s="29" t="e">
        <f>('Formula Calculations (LOCKED)'!D48/'Formula Calculations (LOCKED)'!$D$2)*'Sheet 2. County Level Data'!$P$4</f>
        <v>#DIV/0!</v>
      </c>
      <c r="G48" s="29" t="e">
        <f>'Sheet 2. County Level Data'!$T$11+(0.5*10000000)*'Formula Calculations (LOCKED)'!H48/'Formula Calculations (LOCKED)'!$H$2</f>
        <v>#DIV/0!</v>
      </c>
      <c r="H48" s="29" t="e">
        <f>(0.5*10000000)*'Formula Calculations (LOCKED)'!H48/'Formula Calculations (LOCKED)'!$H$2+(0.5*10000000)*'Formula Calculations (LOCKED)'!D48/'Formula Calculations (LOCKED)'!$D$2</f>
        <v>#DIV/0!</v>
      </c>
      <c r="I48" s="7" t="e">
        <f>'Sheet 2. County Level Data'!$T$12+(0.3333333333*10000000*('Formula Calculations (LOCKED)'!H48/'Formula Calculations (LOCKED)'!$H$2))+(0.3333333333*10000000*('Formula Calculations (LOCKED)'!D48/'Formula Calculations (LOCKED)'!$D$2))</f>
        <v>#DIV/0!</v>
      </c>
      <c r="J48" s="29" t="e">
        <f>'Sheet 2. County Level Data'!$T$13+(0.25*10000000*('Formula Calculations (LOCKED)'!H48/'Formula Calculations (LOCKED)'!$H$2))+(0.25*10000000*('Formula Calculations (LOCKED)'!D48/'Formula Calculations (LOCKED)'!$D$2))+(0.25*10000000*('Formula Calculations (LOCKED)'!L48/'Formula Calculations (LOCKED)'!$L$2))</f>
        <v>#DIV/0!</v>
      </c>
      <c r="K48" s="29" t="e">
        <f>'Sheet 2. County Level Data'!$T$13+(0.25*10000000*('Formula Calculations (LOCKED)'!H48/'Formula Calculations (LOCKED)'!$H$2))+(0.25*10000000*('Formula Calculations (LOCKED)'!D48/'Formula Calculations (LOCKED)'!$D$2))+(0.25*10000000*('Formula Calculations (LOCKED)'!O48/'Formula Calculations (LOCKED)'!$O$2))</f>
        <v>#DIV/0!</v>
      </c>
      <c r="L48" s="29" t="e">
        <f>IF('Formula Calculations (LOCKED)'!$G48=1,('Sheet 2. County Level Data'!$P$12*('Formula Calculations (LOCKED)'!K48/'Formula Calculations (LOCKED)'!$K$2)),((10000000-'Sheet 2. County Level Data'!$P$12)*'Formula Calculations (LOCKED)'!J48/'Formula Calculations (LOCKED)'!$J$2))</f>
        <v>#DIV/0!</v>
      </c>
      <c r="M48" s="29" t="e">
        <f>IF('Formula Calculations (LOCKED)'!$G48=1,((0.5*'Sheet 2. County Level Data'!$P$12)*('Formula Calculations (LOCKED)'!K48/'Formula Calculations (LOCKED)'!$K$2))+((0.5*'Sheet 2. County Level Data'!$P$12)*('Formula Calculations (LOCKED)'!N48/'Formula Calculations (LOCKED)'!$N$2)),((0.5*(10000000-'Sheet 2. County Level Data'!$P$12))*('Formula Calculations (LOCKED)'!J48/'Formula Calculations (LOCKED)'!$J$2))+((0.5*(10000000-'Sheet 2. County Level Data'!$P$12))*('Formula Calculations (LOCKED)'!M48/'Formula Calculations (LOCKED)'!$M$2)))</f>
        <v>#DIV/0!</v>
      </c>
      <c r="N48" s="29" t="e">
        <f>IF('Formula Calculations (LOCKED)'!$G48=1,((0.5*'Sheet 2. County Level Data'!$P$12)*('Formula Calculations (LOCKED)'!K48/'Formula Calculations (LOCKED)'!$K$2))+((0.5*'Sheet 2. County Level Data'!$P$12)*('Formula Calculations (LOCKED)'!R48/'Formula Calculations (LOCKED)'!$R$2)),((0.5*(10000000-'Sheet 2. County Level Data'!$P$12))*('Formula Calculations (LOCKED)'!J48/'Formula Calculations (LOCKED)'!$J$2))+((0.5*(10000000-'Sheet 2. County Level Data'!$P$12))*('Formula Calculations (LOCKED)'!Q48/'Formula Calculations (LOCKED)'!$Q$2)))</f>
        <v>#DIV/0!</v>
      </c>
    </row>
    <row r="49" spans="1:14" x14ac:dyDescent="0.2">
      <c r="A49" s="7">
        <f>'Sheet 2. County Level Data'!A47</f>
        <v>0</v>
      </c>
      <c r="B49" s="29" t="e">
        <f>('Formula Calculations (LOCKED)'!C49*'Sheet 2. County Level Data'!$P$4)</f>
        <v>#DIV/0!</v>
      </c>
      <c r="C49" s="29" t="e">
        <f>'Formula Calculations (LOCKED)'!H49/'Formula Calculations (LOCKED)'!$H$2*'Sheet 2. County Level Data'!$P$4</f>
        <v>#DIV/0!</v>
      </c>
      <c r="D49" s="29" t="e">
        <f>('Formula Calculations (LOCKED)'!L49/'Formula Calculations (LOCKED)'!$L$2)*'Sheet 2. County Level Data'!$P$4</f>
        <v>#DIV/0!</v>
      </c>
      <c r="E49" s="29" t="e">
        <f>('Formula Calculations (LOCKED)'!O49/'Formula Calculations (LOCKED)'!$O$2)*'Sheet 2. County Level Data'!$P$4</f>
        <v>#DIV/0!</v>
      </c>
      <c r="F49" s="29" t="e">
        <f>('Formula Calculations (LOCKED)'!D49/'Formula Calculations (LOCKED)'!$D$2)*'Sheet 2. County Level Data'!$P$4</f>
        <v>#DIV/0!</v>
      </c>
      <c r="G49" s="29" t="e">
        <f>'Sheet 2. County Level Data'!$T$11+(0.5*10000000)*'Formula Calculations (LOCKED)'!H49/'Formula Calculations (LOCKED)'!$H$2</f>
        <v>#DIV/0!</v>
      </c>
      <c r="H49" s="29" t="e">
        <f>(0.5*10000000)*'Formula Calculations (LOCKED)'!H49/'Formula Calculations (LOCKED)'!$H$2+(0.5*10000000)*'Formula Calculations (LOCKED)'!D49/'Formula Calculations (LOCKED)'!$D$2</f>
        <v>#DIV/0!</v>
      </c>
      <c r="I49" s="7" t="e">
        <f>'Sheet 2. County Level Data'!$T$12+(0.3333333333*10000000*('Formula Calculations (LOCKED)'!H49/'Formula Calculations (LOCKED)'!$H$2))+(0.3333333333*10000000*('Formula Calculations (LOCKED)'!D49/'Formula Calculations (LOCKED)'!$D$2))</f>
        <v>#DIV/0!</v>
      </c>
      <c r="J49" s="29" t="e">
        <f>'Sheet 2. County Level Data'!$T$13+(0.25*10000000*('Formula Calculations (LOCKED)'!H49/'Formula Calculations (LOCKED)'!$H$2))+(0.25*10000000*('Formula Calculations (LOCKED)'!D49/'Formula Calculations (LOCKED)'!$D$2))+(0.25*10000000*('Formula Calculations (LOCKED)'!L49/'Formula Calculations (LOCKED)'!$L$2))</f>
        <v>#DIV/0!</v>
      </c>
      <c r="K49" s="29" t="e">
        <f>'Sheet 2. County Level Data'!$T$13+(0.25*10000000*('Formula Calculations (LOCKED)'!H49/'Formula Calculations (LOCKED)'!$H$2))+(0.25*10000000*('Formula Calculations (LOCKED)'!D49/'Formula Calculations (LOCKED)'!$D$2))+(0.25*10000000*('Formula Calculations (LOCKED)'!O49/'Formula Calculations (LOCKED)'!$O$2))</f>
        <v>#DIV/0!</v>
      </c>
      <c r="L49" s="29" t="e">
        <f>IF('Formula Calculations (LOCKED)'!$G49=1,('Sheet 2. County Level Data'!$P$12*('Formula Calculations (LOCKED)'!K49/'Formula Calculations (LOCKED)'!$K$2)),((10000000-'Sheet 2. County Level Data'!$P$12)*'Formula Calculations (LOCKED)'!J49/'Formula Calculations (LOCKED)'!$J$2))</f>
        <v>#DIV/0!</v>
      </c>
      <c r="M49" s="29" t="e">
        <f>IF('Formula Calculations (LOCKED)'!$G49=1,((0.5*'Sheet 2. County Level Data'!$P$12)*('Formula Calculations (LOCKED)'!K49/'Formula Calculations (LOCKED)'!$K$2))+((0.5*'Sheet 2. County Level Data'!$P$12)*('Formula Calculations (LOCKED)'!N49/'Formula Calculations (LOCKED)'!$N$2)),((0.5*(10000000-'Sheet 2. County Level Data'!$P$12))*('Formula Calculations (LOCKED)'!J49/'Formula Calculations (LOCKED)'!$J$2))+((0.5*(10000000-'Sheet 2. County Level Data'!$P$12))*('Formula Calculations (LOCKED)'!M49/'Formula Calculations (LOCKED)'!$M$2)))</f>
        <v>#DIV/0!</v>
      </c>
      <c r="N49" s="29" t="e">
        <f>IF('Formula Calculations (LOCKED)'!$G49=1,((0.5*'Sheet 2. County Level Data'!$P$12)*('Formula Calculations (LOCKED)'!K49/'Formula Calculations (LOCKED)'!$K$2))+((0.5*'Sheet 2. County Level Data'!$P$12)*('Formula Calculations (LOCKED)'!R49/'Formula Calculations (LOCKED)'!$R$2)),((0.5*(10000000-'Sheet 2. County Level Data'!$P$12))*('Formula Calculations (LOCKED)'!J49/'Formula Calculations (LOCKED)'!$J$2))+((0.5*(10000000-'Sheet 2. County Level Data'!$P$12))*('Formula Calculations (LOCKED)'!Q49/'Formula Calculations (LOCKED)'!$Q$2)))</f>
        <v>#DIV/0!</v>
      </c>
    </row>
    <row r="50" spans="1:14" x14ac:dyDescent="0.2">
      <c r="A50" s="7">
        <f>'Sheet 2. County Level Data'!A48</f>
        <v>0</v>
      </c>
      <c r="B50" s="29" t="e">
        <f>('Formula Calculations (LOCKED)'!C50*'Sheet 2. County Level Data'!$P$4)</f>
        <v>#DIV/0!</v>
      </c>
      <c r="C50" s="29" t="e">
        <f>'Formula Calculations (LOCKED)'!H50/'Formula Calculations (LOCKED)'!$H$2*'Sheet 2. County Level Data'!$P$4</f>
        <v>#DIV/0!</v>
      </c>
      <c r="D50" s="29" t="e">
        <f>('Formula Calculations (LOCKED)'!L50/'Formula Calculations (LOCKED)'!$L$2)*'Sheet 2. County Level Data'!$P$4</f>
        <v>#DIV/0!</v>
      </c>
      <c r="E50" s="29" t="e">
        <f>('Formula Calculations (LOCKED)'!O50/'Formula Calculations (LOCKED)'!$O$2)*'Sheet 2. County Level Data'!$P$4</f>
        <v>#DIV/0!</v>
      </c>
      <c r="F50" s="29" t="e">
        <f>('Formula Calculations (LOCKED)'!D50/'Formula Calculations (LOCKED)'!$D$2)*'Sheet 2. County Level Data'!$P$4</f>
        <v>#DIV/0!</v>
      </c>
      <c r="G50" s="29" t="e">
        <f>'Sheet 2. County Level Data'!$T$11+(0.5*10000000)*'Formula Calculations (LOCKED)'!H50/'Formula Calculations (LOCKED)'!$H$2</f>
        <v>#DIV/0!</v>
      </c>
      <c r="H50" s="29" t="e">
        <f>(0.5*10000000)*'Formula Calculations (LOCKED)'!H50/'Formula Calculations (LOCKED)'!$H$2+(0.5*10000000)*'Formula Calculations (LOCKED)'!D50/'Formula Calculations (LOCKED)'!$D$2</f>
        <v>#DIV/0!</v>
      </c>
      <c r="I50" s="7" t="e">
        <f>'Sheet 2. County Level Data'!$T$12+(0.3333333333*10000000*('Formula Calculations (LOCKED)'!H50/'Formula Calculations (LOCKED)'!$H$2))+(0.3333333333*10000000*('Formula Calculations (LOCKED)'!D50/'Formula Calculations (LOCKED)'!$D$2))</f>
        <v>#DIV/0!</v>
      </c>
      <c r="J50" s="29" t="e">
        <f>'Sheet 2. County Level Data'!$T$13+(0.25*10000000*('Formula Calculations (LOCKED)'!H50/'Formula Calculations (LOCKED)'!$H$2))+(0.25*10000000*('Formula Calculations (LOCKED)'!D50/'Formula Calculations (LOCKED)'!$D$2))+(0.25*10000000*('Formula Calculations (LOCKED)'!L50/'Formula Calculations (LOCKED)'!$L$2))</f>
        <v>#DIV/0!</v>
      </c>
      <c r="K50" s="29" t="e">
        <f>'Sheet 2. County Level Data'!$T$13+(0.25*10000000*('Formula Calculations (LOCKED)'!H50/'Formula Calculations (LOCKED)'!$H$2))+(0.25*10000000*('Formula Calculations (LOCKED)'!D50/'Formula Calculations (LOCKED)'!$D$2))+(0.25*10000000*('Formula Calculations (LOCKED)'!O50/'Formula Calculations (LOCKED)'!$O$2))</f>
        <v>#DIV/0!</v>
      </c>
      <c r="L50" s="29" t="e">
        <f>IF('Formula Calculations (LOCKED)'!$G50=1,('Sheet 2. County Level Data'!$P$12*('Formula Calculations (LOCKED)'!K50/'Formula Calculations (LOCKED)'!$K$2)),((10000000-'Sheet 2. County Level Data'!$P$12)*'Formula Calculations (LOCKED)'!J50/'Formula Calculations (LOCKED)'!$J$2))</f>
        <v>#DIV/0!</v>
      </c>
      <c r="M50" s="29" t="e">
        <f>IF('Formula Calculations (LOCKED)'!$G50=1,((0.5*'Sheet 2. County Level Data'!$P$12)*('Formula Calculations (LOCKED)'!K50/'Formula Calculations (LOCKED)'!$K$2))+((0.5*'Sheet 2. County Level Data'!$P$12)*('Formula Calculations (LOCKED)'!N50/'Formula Calculations (LOCKED)'!$N$2)),((0.5*(10000000-'Sheet 2. County Level Data'!$P$12))*('Formula Calculations (LOCKED)'!J50/'Formula Calculations (LOCKED)'!$J$2))+((0.5*(10000000-'Sheet 2. County Level Data'!$P$12))*('Formula Calculations (LOCKED)'!M50/'Formula Calculations (LOCKED)'!$M$2)))</f>
        <v>#DIV/0!</v>
      </c>
      <c r="N50" s="29" t="e">
        <f>IF('Formula Calculations (LOCKED)'!$G50=1,((0.5*'Sheet 2. County Level Data'!$P$12)*('Formula Calculations (LOCKED)'!K50/'Formula Calculations (LOCKED)'!$K$2))+((0.5*'Sheet 2. County Level Data'!$P$12)*('Formula Calculations (LOCKED)'!R50/'Formula Calculations (LOCKED)'!$R$2)),((0.5*(10000000-'Sheet 2. County Level Data'!$P$12))*('Formula Calculations (LOCKED)'!J50/'Formula Calculations (LOCKED)'!$J$2))+((0.5*(10000000-'Sheet 2. County Level Data'!$P$12))*('Formula Calculations (LOCKED)'!Q50/'Formula Calculations (LOCKED)'!$Q$2)))</f>
        <v>#DIV/0!</v>
      </c>
    </row>
    <row r="51" spans="1:14" x14ac:dyDescent="0.2">
      <c r="A51" s="7">
        <f>'Sheet 2. County Level Data'!A49</f>
        <v>0</v>
      </c>
      <c r="B51" s="29" t="e">
        <f>('Formula Calculations (LOCKED)'!C51*'Sheet 2. County Level Data'!$P$4)</f>
        <v>#DIV/0!</v>
      </c>
      <c r="C51" s="29" t="e">
        <f>'Formula Calculations (LOCKED)'!H51/'Formula Calculations (LOCKED)'!$H$2*'Sheet 2. County Level Data'!$P$4</f>
        <v>#DIV/0!</v>
      </c>
      <c r="D51" s="29" t="e">
        <f>('Formula Calculations (LOCKED)'!L51/'Formula Calculations (LOCKED)'!$L$2)*'Sheet 2. County Level Data'!$P$4</f>
        <v>#DIV/0!</v>
      </c>
      <c r="E51" s="29" t="e">
        <f>('Formula Calculations (LOCKED)'!O51/'Formula Calculations (LOCKED)'!$O$2)*'Sheet 2. County Level Data'!$P$4</f>
        <v>#DIV/0!</v>
      </c>
      <c r="F51" s="29" t="e">
        <f>('Formula Calculations (LOCKED)'!D51/'Formula Calculations (LOCKED)'!$D$2)*'Sheet 2. County Level Data'!$P$4</f>
        <v>#DIV/0!</v>
      </c>
      <c r="G51" s="29" t="e">
        <f>'Sheet 2. County Level Data'!$T$11+(0.5*10000000)*'Formula Calculations (LOCKED)'!H51/'Formula Calculations (LOCKED)'!$H$2</f>
        <v>#DIV/0!</v>
      </c>
      <c r="H51" s="29" t="e">
        <f>(0.5*10000000)*'Formula Calculations (LOCKED)'!H51/'Formula Calculations (LOCKED)'!$H$2+(0.5*10000000)*'Formula Calculations (LOCKED)'!D51/'Formula Calculations (LOCKED)'!$D$2</f>
        <v>#DIV/0!</v>
      </c>
      <c r="I51" s="7" t="e">
        <f>'Sheet 2. County Level Data'!$T$12+(0.3333333333*10000000*('Formula Calculations (LOCKED)'!H51/'Formula Calculations (LOCKED)'!$H$2))+(0.3333333333*10000000*('Formula Calculations (LOCKED)'!D51/'Formula Calculations (LOCKED)'!$D$2))</f>
        <v>#DIV/0!</v>
      </c>
      <c r="J51" s="29" t="e">
        <f>'Sheet 2. County Level Data'!$T$13+(0.25*10000000*('Formula Calculations (LOCKED)'!H51/'Formula Calculations (LOCKED)'!$H$2))+(0.25*10000000*('Formula Calculations (LOCKED)'!D51/'Formula Calculations (LOCKED)'!$D$2))+(0.25*10000000*('Formula Calculations (LOCKED)'!L51/'Formula Calculations (LOCKED)'!$L$2))</f>
        <v>#DIV/0!</v>
      </c>
      <c r="K51" s="29" t="e">
        <f>'Sheet 2. County Level Data'!$T$13+(0.25*10000000*('Formula Calculations (LOCKED)'!H51/'Formula Calculations (LOCKED)'!$H$2))+(0.25*10000000*('Formula Calculations (LOCKED)'!D51/'Formula Calculations (LOCKED)'!$D$2))+(0.25*10000000*('Formula Calculations (LOCKED)'!O51/'Formula Calculations (LOCKED)'!$O$2))</f>
        <v>#DIV/0!</v>
      </c>
      <c r="L51" s="29" t="e">
        <f>IF('Formula Calculations (LOCKED)'!$G51=1,('Sheet 2. County Level Data'!$P$12*('Formula Calculations (LOCKED)'!K51/'Formula Calculations (LOCKED)'!$K$2)),((10000000-'Sheet 2. County Level Data'!$P$12)*'Formula Calculations (LOCKED)'!J51/'Formula Calculations (LOCKED)'!$J$2))</f>
        <v>#DIV/0!</v>
      </c>
      <c r="M51" s="29" t="e">
        <f>IF('Formula Calculations (LOCKED)'!$G51=1,((0.5*'Sheet 2. County Level Data'!$P$12)*('Formula Calculations (LOCKED)'!K51/'Formula Calculations (LOCKED)'!$K$2))+((0.5*'Sheet 2. County Level Data'!$P$12)*('Formula Calculations (LOCKED)'!N51/'Formula Calculations (LOCKED)'!$N$2)),((0.5*(10000000-'Sheet 2. County Level Data'!$P$12))*('Formula Calculations (LOCKED)'!J51/'Formula Calculations (LOCKED)'!$J$2))+((0.5*(10000000-'Sheet 2. County Level Data'!$P$12))*('Formula Calculations (LOCKED)'!M51/'Formula Calculations (LOCKED)'!$M$2)))</f>
        <v>#DIV/0!</v>
      </c>
      <c r="N51" s="29" t="e">
        <f>IF('Formula Calculations (LOCKED)'!$G51=1,((0.5*'Sheet 2. County Level Data'!$P$12)*('Formula Calculations (LOCKED)'!K51/'Formula Calculations (LOCKED)'!$K$2))+((0.5*'Sheet 2. County Level Data'!$P$12)*('Formula Calculations (LOCKED)'!R51/'Formula Calculations (LOCKED)'!$R$2)),((0.5*(10000000-'Sheet 2. County Level Data'!$P$12))*('Formula Calculations (LOCKED)'!J51/'Formula Calculations (LOCKED)'!$J$2))+((0.5*(10000000-'Sheet 2. County Level Data'!$P$12))*('Formula Calculations (LOCKED)'!Q51/'Formula Calculations (LOCKED)'!$Q$2)))</f>
        <v>#DIV/0!</v>
      </c>
    </row>
    <row r="52" spans="1:14" x14ac:dyDescent="0.2">
      <c r="A52" s="7">
        <f>'Sheet 2. County Level Data'!A50</f>
        <v>0</v>
      </c>
      <c r="B52" s="29" t="e">
        <f>('Formula Calculations (LOCKED)'!C52*'Sheet 2. County Level Data'!$P$4)</f>
        <v>#DIV/0!</v>
      </c>
      <c r="C52" s="29" t="e">
        <f>'Formula Calculations (LOCKED)'!H52/'Formula Calculations (LOCKED)'!$H$2*'Sheet 2. County Level Data'!$P$4</f>
        <v>#DIV/0!</v>
      </c>
      <c r="D52" s="29" t="e">
        <f>('Formula Calculations (LOCKED)'!L52/'Formula Calculations (LOCKED)'!$L$2)*'Sheet 2. County Level Data'!$P$4</f>
        <v>#DIV/0!</v>
      </c>
      <c r="E52" s="29" t="e">
        <f>('Formula Calculations (LOCKED)'!O52/'Formula Calculations (LOCKED)'!$O$2)*'Sheet 2. County Level Data'!$P$4</f>
        <v>#DIV/0!</v>
      </c>
      <c r="F52" s="29" t="e">
        <f>('Formula Calculations (LOCKED)'!D52/'Formula Calculations (LOCKED)'!$D$2)*'Sheet 2. County Level Data'!$P$4</f>
        <v>#DIV/0!</v>
      </c>
      <c r="G52" s="29" t="e">
        <f>'Sheet 2. County Level Data'!$T$11+(0.5*10000000)*'Formula Calculations (LOCKED)'!H52/'Formula Calculations (LOCKED)'!$H$2</f>
        <v>#DIV/0!</v>
      </c>
      <c r="H52" s="29" t="e">
        <f>(0.5*10000000)*'Formula Calculations (LOCKED)'!H52/'Formula Calculations (LOCKED)'!$H$2+(0.5*10000000)*'Formula Calculations (LOCKED)'!D52/'Formula Calculations (LOCKED)'!$D$2</f>
        <v>#DIV/0!</v>
      </c>
      <c r="I52" s="7" t="e">
        <f>'Sheet 2. County Level Data'!$T$12+(0.3333333333*10000000*('Formula Calculations (LOCKED)'!H52/'Formula Calculations (LOCKED)'!$H$2))+(0.3333333333*10000000*('Formula Calculations (LOCKED)'!D52/'Formula Calculations (LOCKED)'!$D$2))</f>
        <v>#DIV/0!</v>
      </c>
      <c r="J52" s="29" t="e">
        <f>'Sheet 2. County Level Data'!$T$13+(0.25*10000000*('Formula Calculations (LOCKED)'!H52/'Formula Calculations (LOCKED)'!$H$2))+(0.25*10000000*('Formula Calculations (LOCKED)'!D52/'Formula Calculations (LOCKED)'!$D$2))+(0.25*10000000*('Formula Calculations (LOCKED)'!L52/'Formula Calculations (LOCKED)'!$L$2))</f>
        <v>#DIV/0!</v>
      </c>
      <c r="K52" s="29" t="e">
        <f>'Sheet 2. County Level Data'!$T$13+(0.25*10000000*('Formula Calculations (LOCKED)'!H52/'Formula Calculations (LOCKED)'!$H$2))+(0.25*10000000*('Formula Calculations (LOCKED)'!D52/'Formula Calculations (LOCKED)'!$D$2))+(0.25*10000000*('Formula Calculations (LOCKED)'!O52/'Formula Calculations (LOCKED)'!$O$2))</f>
        <v>#DIV/0!</v>
      </c>
      <c r="L52" s="29" t="e">
        <f>IF('Formula Calculations (LOCKED)'!$G52=1,('Sheet 2. County Level Data'!$P$12*('Formula Calculations (LOCKED)'!K52/'Formula Calculations (LOCKED)'!$K$2)),((10000000-'Sheet 2. County Level Data'!$P$12)*'Formula Calculations (LOCKED)'!J52/'Formula Calculations (LOCKED)'!$J$2))</f>
        <v>#DIV/0!</v>
      </c>
      <c r="M52" s="29" t="e">
        <f>IF('Formula Calculations (LOCKED)'!$G52=1,((0.5*'Sheet 2. County Level Data'!$P$12)*('Formula Calculations (LOCKED)'!K52/'Formula Calculations (LOCKED)'!$K$2))+((0.5*'Sheet 2. County Level Data'!$P$12)*('Formula Calculations (LOCKED)'!N52/'Formula Calculations (LOCKED)'!$N$2)),((0.5*(10000000-'Sheet 2. County Level Data'!$P$12))*('Formula Calculations (LOCKED)'!J52/'Formula Calculations (LOCKED)'!$J$2))+((0.5*(10000000-'Sheet 2. County Level Data'!$P$12))*('Formula Calculations (LOCKED)'!M52/'Formula Calculations (LOCKED)'!$M$2)))</f>
        <v>#DIV/0!</v>
      </c>
      <c r="N52" s="29" t="e">
        <f>IF('Formula Calculations (LOCKED)'!$G52=1,((0.5*'Sheet 2. County Level Data'!$P$12)*('Formula Calculations (LOCKED)'!K52/'Formula Calculations (LOCKED)'!$K$2))+((0.5*'Sheet 2. County Level Data'!$P$12)*('Formula Calculations (LOCKED)'!R52/'Formula Calculations (LOCKED)'!$R$2)),((0.5*(10000000-'Sheet 2. County Level Data'!$P$12))*('Formula Calculations (LOCKED)'!J52/'Formula Calculations (LOCKED)'!$J$2))+((0.5*(10000000-'Sheet 2. County Level Data'!$P$12))*('Formula Calculations (LOCKED)'!Q52/'Formula Calculations (LOCKED)'!$Q$2)))</f>
        <v>#DIV/0!</v>
      </c>
    </row>
    <row r="53" spans="1:14" x14ac:dyDescent="0.2">
      <c r="A53" s="7">
        <f>'Sheet 2. County Level Data'!A51</f>
        <v>0</v>
      </c>
      <c r="B53" s="29" t="e">
        <f>('Formula Calculations (LOCKED)'!C53*'Sheet 2. County Level Data'!$P$4)</f>
        <v>#DIV/0!</v>
      </c>
      <c r="C53" s="29" t="e">
        <f>'Formula Calculations (LOCKED)'!H53/'Formula Calculations (LOCKED)'!$H$2*'Sheet 2. County Level Data'!$P$4</f>
        <v>#DIV/0!</v>
      </c>
      <c r="D53" s="29" t="e">
        <f>('Formula Calculations (LOCKED)'!L53/'Formula Calculations (LOCKED)'!$L$2)*'Sheet 2. County Level Data'!$P$4</f>
        <v>#DIV/0!</v>
      </c>
      <c r="E53" s="29" t="e">
        <f>('Formula Calculations (LOCKED)'!O53/'Formula Calculations (LOCKED)'!$O$2)*'Sheet 2. County Level Data'!$P$4</f>
        <v>#DIV/0!</v>
      </c>
      <c r="F53" s="29" t="e">
        <f>('Formula Calculations (LOCKED)'!D53/'Formula Calculations (LOCKED)'!$D$2)*'Sheet 2. County Level Data'!$P$4</f>
        <v>#DIV/0!</v>
      </c>
      <c r="G53" s="29" t="e">
        <f>'Sheet 2. County Level Data'!$T$11+(0.5*10000000)*'Formula Calculations (LOCKED)'!H53/'Formula Calculations (LOCKED)'!$H$2</f>
        <v>#DIV/0!</v>
      </c>
      <c r="H53" s="29" t="e">
        <f>(0.5*10000000)*'Formula Calculations (LOCKED)'!H53/'Formula Calculations (LOCKED)'!$H$2+(0.5*10000000)*'Formula Calculations (LOCKED)'!D53/'Formula Calculations (LOCKED)'!$D$2</f>
        <v>#DIV/0!</v>
      </c>
      <c r="I53" s="7" t="e">
        <f>'Sheet 2. County Level Data'!$T$12+(0.3333333333*10000000*('Formula Calculations (LOCKED)'!H53/'Formula Calculations (LOCKED)'!$H$2))+(0.3333333333*10000000*('Formula Calculations (LOCKED)'!D53/'Formula Calculations (LOCKED)'!$D$2))</f>
        <v>#DIV/0!</v>
      </c>
      <c r="J53" s="29" t="e">
        <f>'Sheet 2. County Level Data'!$T$13+(0.25*10000000*('Formula Calculations (LOCKED)'!H53/'Formula Calculations (LOCKED)'!$H$2))+(0.25*10000000*('Formula Calculations (LOCKED)'!D53/'Formula Calculations (LOCKED)'!$D$2))+(0.25*10000000*('Formula Calculations (LOCKED)'!L53/'Formula Calculations (LOCKED)'!$L$2))</f>
        <v>#DIV/0!</v>
      </c>
      <c r="K53" s="29" t="e">
        <f>'Sheet 2. County Level Data'!$T$13+(0.25*10000000*('Formula Calculations (LOCKED)'!H53/'Formula Calculations (LOCKED)'!$H$2))+(0.25*10000000*('Formula Calculations (LOCKED)'!D53/'Formula Calculations (LOCKED)'!$D$2))+(0.25*10000000*('Formula Calculations (LOCKED)'!O53/'Formula Calculations (LOCKED)'!$O$2))</f>
        <v>#DIV/0!</v>
      </c>
      <c r="L53" s="29" t="e">
        <f>IF('Formula Calculations (LOCKED)'!$G53=1,('Sheet 2. County Level Data'!$P$12*('Formula Calculations (LOCKED)'!K53/'Formula Calculations (LOCKED)'!$K$2)),((10000000-'Sheet 2. County Level Data'!$P$12)*'Formula Calculations (LOCKED)'!J53/'Formula Calculations (LOCKED)'!$J$2))</f>
        <v>#DIV/0!</v>
      </c>
      <c r="M53" s="29" t="e">
        <f>IF('Formula Calculations (LOCKED)'!$G53=1,((0.5*'Sheet 2. County Level Data'!$P$12)*('Formula Calculations (LOCKED)'!K53/'Formula Calculations (LOCKED)'!$K$2))+((0.5*'Sheet 2. County Level Data'!$P$12)*('Formula Calculations (LOCKED)'!N53/'Formula Calculations (LOCKED)'!$N$2)),((0.5*(10000000-'Sheet 2. County Level Data'!$P$12))*('Formula Calculations (LOCKED)'!J53/'Formula Calculations (LOCKED)'!$J$2))+((0.5*(10000000-'Sheet 2. County Level Data'!$P$12))*('Formula Calculations (LOCKED)'!M53/'Formula Calculations (LOCKED)'!$M$2)))</f>
        <v>#DIV/0!</v>
      </c>
      <c r="N53" s="29" t="e">
        <f>IF('Formula Calculations (LOCKED)'!$G53=1,((0.5*'Sheet 2. County Level Data'!$P$12)*('Formula Calculations (LOCKED)'!K53/'Formula Calculations (LOCKED)'!$K$2))+((0.5*'Sheet 2. County Level Data'!$P$12)*('Formula Calculations (LOCKED)'!R53/'Formula Calculations (LOCKED)'!$R$2)),((0.5*(10000000-'Sheet 2. County Level Data'!$P$12))*('Formula Calculations (LOCKED)'!J53/'Formula Calculations (LOCKED)'!$J$2))+((0.5*(10000000-'Sheet 2. County Level Data'!$P$12))*('Formula Calculations (LOCKED)'!Q53/'Formula Calculations (LOCKED)'!$Q$2)))</f>
        <v>#DIV/0!</v>
      </c>
    </row>
    <row r="54" spans="1:14" x14ac:dyDescent="0.2">
      <c r="A54" s="7">
        <f>'Sheet 2. County Level Data'!A52</f>
        <v>0</v>
      </c>
      <c r="B54" s="29" t="e">
        <f>('Formula Calculations (LOCKED)'!C54*'Sheet 2. County Level Data'!$P$4)</f>
        <v>#DIV/0!</v>
      </c>
      <c r="C54" s="29" t="e">
        <f>'Formula Calculations (LOCKED)'!H54/'Formula Calculations (LOCKED)'!$H$2*'Sheet 2. County Level Data'!$P$4</f>
        <v>#DIV/0!</v>
      </c>
      <c r="D54" s="29" t="e">
        <f>('Formula Calculations (LOCKED)'!L54/'Formula Calculations (LOCKED)'!$L$2)*'Sheet 2. County Level Data'!$P$4</f>
        <v>#DIV/0!</v>
      </c>
      <c r="E54" s="29" t="e">
        <f>('Formula Calculations (LOCKED)'!O54/'Formula Calculations (LOCKED)'!$O$2)*'Sheet 2. County Level Data'!$P$4</f>
        <v>#DIV/0!</v>
      </c>
      <c r="F54" s="29" t="e">
        <f>('Formula Calculations (LOCKED)'!D54/'Formula Calculations (LOCKED)'!$D$2)*'Sheet 2. County Level Data'!$P$4</f>
        <v>#DIV/0!</v>
      </c>
      <c r="G54" s="29" t="e">
        <f>'Sheet 2. County Level Data'!$T$11+(0.5*10000000)*'Formula Calculations (LOCKED)'!H54/'Formula Calculations (LOCKED)'!$H$2</f>
        <v>#DIV/0!</v>
      </c>
      <c r="H54" s="29" t="e">
        <f>(0.5*10000000)*'Formula Calculations (LOCKED)'!H54/'Formula Calculations (LOCKED)'!$H$2+(0.5*10000000)*'Formula Calculations (LOCKED)'!D54/'Formula Calculations (LOCKED)'!$D$2</f>
        <v>#DIV/0!</v>
      </c>
      <c r="I54" s="7" t="e">
        <f>'Sheet 2. County Level Data'!$T$12+(0.3333333333*10000000*('Formula Calculations (LOCKED)'!H54/'Formula Calculations (LOCKED)'!$H$2))+(0.3333333333*10000000*('Formula Calculations (LOCKED)'!D54/'Formula Calculations (LOCKED)'!$D$2))</f>
        <v>#DIV/0!</v>
      </c>
      <c r="J54" s="29" t="e">
        <f>'Sheet 2. County Level Data'!$T$13+(0.25*10000000*('Formula Calculations (LOCKED)'!H54/'Formula Calculations (LOCKED)'!$H$2))+(0.25*10000000*('Formula Calculations (LOCKED)'!D54/'Formula Calculations (LOCKED)'!$D$2))+(0.25*10000000*('Formula Calculations (LOCKED)'!L54/'Formula Calculations (LOCKED)'!$L$2))</f>
        <v>#DIV/0!</v>
      </c>
      <c r="K54" s="29" t="e">
        <f>'Sheet 2. County Level Data'!$T$13+(0.25*10000000*('Formula Calculations (LOCKED)'!H54/'Formula Calculations (LOCKED)'!$H$2))+(0.25*10000000*('Formula Calculations (LOCKED)'!D54/'Formula Calculations (LOCKED)'!$D$2))+(0.25*10000000*('Formula Calculations (LOCKED)'!O54/'Formula Calculations (LOCKED)'!$O$2))</f>
        <v>#DIV/0!</v>
      </c>
      <c r="L54" s="29" t="e">
        <f>IF('Formula Calculations (LOCKED)'!$G54=1,('Sheet 2. County Level Data'!$P$12*('Formula Calculations (LOCKED)'!K54/'Formula Calculations (LOCKED)'!$K$2)),((10000000-'Sheet 2. County Level Data'!$P$12)*'Formula Calculations (LOCKED)'!J54/'Formula Calculations (LOCKED)'!$J$2))</f>
        <v>#DIV/0!</v>
      </c>
      <c r="M54" s="29" t="e">
        <f>IF('Formula Calculations (LOCKED)'!$G54=1,((0.5*'Sheet 2. County Level Data'!$P$12)*('Formula Calculations (LOCKED)'!K54/'Formula Calculations (LOCKED)'!$K$2))+((0.5*'Sheet 2. County Level Data'!$P$12)*('Formula Calculations (LOCKED)'!N54/'Formula Calculations (LOCKED)'!$N$2)),((0.5*(10000000-'Sheet 2. County Level Data'!$P$12))*('Formula Calculations (LOCKED)'!J54/'Formula Calculations (LOCKED)'!$J$2))+((0.5*(10000000-'Sheet 2. County Level Data'!$P$12))*('Formula Calculations (LOCKED)'!M54/'Formula Calculations (LOCKED)'!$M$2)))</f>
        <v>#DIV/0!</v>
      </c>
      <c r="N54" s="29" t="e">
        <f>IF('Formula Calculations (LOCKED)'!$G54=1,((0.5*'Sheet 2. County Level Data'!$P$12)*('Formula Calculations (LOCKED)'!K54/'Formula Calculations (LOCKED)'!$K$2))+((0.5*'Sheet 2. County Level Data'!$P$12)*('Formula Calculations (LOCKED)'!R54/'Formula Calculations (LOCKED)'!$R$2)),((0.5*(10000000-'Sheet 2. County Level Data'!$P$12))*('Formula Calculations (LOCKED)'!J54/'Formula Calculations (LOCKED)'!$J$2))+((0.5*(10000000-'Sheet 2. County Level Data'!$P$12))*('Formula Calculations (LOCKED)'!Q54/'Formula Calculations (LOCKED)'!$Q$2)))</f>
        <v>#DIV/0!</v>
      </c>
    </row>
    <row r="55" spans="1:14" x14ac:dyDescent="0.2">
      <c r="A55" s="7">
        <f>'Sheet 2. County Level Data'!A53</f>
        <v>0</v>
      </c>
      <c r="B55" s="29" t="e">
        <f>('Formula Calculations (LOCKED)'!C55*'Sheet 2. County Level Data'!$P$4)</f>
        <v>#DIV/0!</v>
      </c>
      <c r="C55" s="29" t="e">
        <f>'Formula Calculations (LOCKED)'!H55/'Formula Calculations (LOCKED)'!$H$2*'Sheet 2. County Level Data'!$P$4</f>
        <v>#DIV/0!</v>
      </c>
      <c r="D55" s="29" t="e">
        <f>('Formula Calculations (LOCKED)'!L55/'Formula Calculations (LOCKED)'!$L$2)*'Sheet 2. County Level Data'!$P$4</f>
        <v>#DIV/0!</v>
      </c>
      <c r="E55" s="29" t="e">
        <f>('Formula Calculations (LOCKED)'!O55/'Formula Calculations (LOCKED)'!$O$2)*'Sheet 2. County Level Data'!$P$4</f>
        <v>#DIV/0!</v>
      </c>
      <c r="F55" s="29" t="e">
        <f>('Formula Calculations (LOCKED)'!D55/'Formula Calculations (LOCKED)'!$D$2)*'Sheet 2. County Level Data'!$P$4</f>
        <v>#DIV/0!</v>
      </c>
      <c r="G55" s="29" t="e">
        <f>'Sheet 2. County Level Data'!$T$11+(0.5*10000000)*'Formula Calculations (LOCKED)'!H55/'Formula Calculations (LOCKED)'!$H$2</f>
        <v>#DIV/0!</v>
      </c>
      <c r="H55" s="29" t="e">
        <f>(0.5*10000000)*'Formula Calculations (LOCKED)'!H55/'Formula Calculations (LOCKED)'!$H$2+(0.5*10000000)*'Formula Calculations (LOCKED)'!D55/'Formula Calculations (LOCKED)'!$D$2</f>
        <v>#DIV/0!</v>
      </c>
      <c r="I55" s="7" t="e">
        <f>'Sheet 2. County Level Data'!$T$12+(0.3333333333*10000000*('Formula Calculations (LOCKED)'!H55/'Formula Calculations (LOCKED)'!$H$2))+(0.3333333333*10000000*('Formula Calculations (LOCKED)'!D55/'Formula Calculations (LOCKED)'!$D$2))</f>
        <v>#DIV/0!</v>
      </c>
      <c r="J55" s="29" t="e">
        <f>'Sheet 2. County Level Data'!$T$13+(0.25*10000000*('Formula Calculations (LOCKED)'!H55/'Formula Calculations (LOCKED)'!$H$2))+(0.25*10000000*('Formula Calculations (LOCKED)'!D55/'Formula Calculations (LOCKED)'!$D$2))+(0.25*10000000*('Formula Calculations (LOCKED)'!L55/'Formula Calculations (LOCKED)'!$L$2))</f>
        <v>#DIV/0!</v>
      </c>
      <c r="K55" s="29" t="e">
        <f>'Sheet 2. County Level Data'!$T$13+(0.25*10000000*('Formula Calculations (LOCKED)'!H55/'Formula Calculations (LOCKED)'!$H$2))+(0.25*10000000*('Formula Calculations (LOCKED)'!D55/'Formula Calculations (LOCKED)'!$D$2))+(0.25*10000000*('Formula Calculations (LOCKED)'!O55/'Formula Calculations (LOCKED)'!$O$2))</f>
        <v>#DIV/0!</v>
      </c>
      <c r="L55" s="29" t="e">
        <f>IF('Formula Calculations (LOCKED)'!$G55=1,('Sheet 2. County Level Data'!$P$12*('Formula Calculations (LOCKED)'!K55/'Formula Calculations (LOCKED)'!$K$2)),((10000000-'Sheet 2. County Level Data'!$P$12)*'Formula Calculations (LOCKED)'!J55/'Formula Calculations (LOCKED)'!$J$2))</f>
        <v>#DIV/0!</v>
      </c>
      <c r="M55" s="29" t="e">
        <f>IF('Formula Calculations (LOCKED)'!$G55=1,((0.5*'Sheet 2. County Level Data'!$P$12)*('Formula Calculations (LOCKED)'!K55/'Formula Calculations (LOCKED)'!$K$2))+((0.5*'Sheet 2. County Level Data'!$P$12)*('Formula Calculations (LOCKED)'!N55/'Formula Calculations (LOCKED)'!$N$2)),((0.5*(10000000-'Sheet 2. County Level Data'!$P$12))*('Formula Calculations (LOCKED)'!J55/'Formula Calculations (LOCKED)'!$J$2))+((0.5*(10000000-'Sheet 2. County Level Data'!$P$12))*('Formula Calculations (LOCKED)'!M55/'Formula Calculations (LOCKED)'!$M$2)))</f>
        <v>#DIV/0!</v>
      </c>
      <c r="N55" s="29" t="e">
        <f>IF('Formula Calculations (LOCKED)'!$G55=1,((0.5*'Sheet 2. County Level Data'!$P$12)*('Formula Calculations (LOCKED)'!K55/'Formula Calculations (LOCKED)'!$K$2))+((0.5*'Sheet 2. County Level Data'!$P$12)*('Formula Calculations (LOCKED)'!R55/'Formula Calculations (LOCKED)'!$R$2)),((0.5*(10000000-'Sheet 2. County Level Data'!$P$12))*('Formula Calculations (LOCKED)'!J55/'Formula Calculations (LOCKED)'!$J$2))+((0.5*(10000000-'Sheet 2. County Level Data'!$P$12))*('Formula Calculations (LOCKED)'!Q55/'Formula Calculations (LOCKED)'!$Q$2)))</f>
        <v>#DIV/0!</v>
      </c>
    </row>
    <row r="56" spans="1:14" x14ac:dyDescent="0.2">
      <c r="A56" s="7">
        <f>'Sheet 2. County Level Data'!A54</f>
        <v>0</v>
      </c>
      <c r="B56" s="29" t="e">
        <f>('Formula Calculations (LOCKED)'!C56*'Sheet 2. County Level Data'!$P$4)</f>
        <v>#DIV/0!</v>
      </c>
      <c r="C56" s="29" t="e">
        <f>'Formula Calculations (LOCKED)'!H56/'Formula Calculations (LOCKED)'!$H$2*'Sheet 2. County Level Data'!$P$4</f>
        <v>#DIV/0!</v>
      </c>
      <c r="D56" s="29" t="e">
        <f>('Formula Calculations (LOCKED)'!L56/'Formula Calculations (LOCKED)'!$L$2)*'Sheet 2. County Level Data'!$P$4</f>
        <v>#DIV/0!</v>
      </c>
      <c r="E56" s="29" t="e">
        <f>('Formula Calculations (LOCKED)'!O56/'Formula Calculations (LOCKED)'!$O$2)*'Sheet 2. County Level Data'!$P$4</f>
        <v>#DIV/0!</v>
      </c>
      <c r="F56" s="29" t="e">
        <f>('Formula Calculations (LOCKED)'!D56/'Formula Calculations (LOCKED)'!$D$2)*'Sheet 2. County Level Data'!$P$4</f>
        <v>#DIV/0!</v>
      </c>
      <c r="G56" s="29" t="e">
        <f>'Sheet 2. County Level Data'!$T$11+(0.5*10000000)*'Formula Calculations (LOCKED)'!H56/'Formula Calculations (LOCKED)'!$H$2</f>
        <v>#DIV/0!</v>
      </c>
      <c r="H56" s="29" t="e">
        <f>(0.5*10000000)*'Formula Calculations (LOCKED)'!H56/'Formula Calculations (LOCKED)'!$H$2+(0.5*10000000)*'Formula Calculations (LOCKED)'!D56/'Formula Calculations (LOCKED)'!$D$2</f>
        <v>#DIV/0!</v>
      </c>
      <c r="I56" s="7" t="e">
        <f>'Sheet 2. County Level Data'!$T$12+(0.3333333333*10000000*('Formula Calculations (LOCKED)'!H56/'Formula Calculations (LOCKED)'!$H$2))+(0.3333333333*10000000*('Formula Calculations (LOCKED)'!D56/'Formula Calculations (LOCKED)'!$D$2))</f>
        <v>#DIV/0!</v>
      </c>
      <c r="J56" s="29" t="e">
        <f>'Sheet 2. County Level Data'!$T$13+(0.25*10000000*('Formula Calculations (LOCKED)'!H56/'Formula Calculations (LOCKED)'!$H$2))+(0.25*10000000*('Formula Calculations (LOCKED)'!D56/'Formula Calculations (LOCKED)'!$D$2))+(0.25*10000000*('Formula Calculations (LOCKED)'!L56/'Formula Calculations (LOCKED)'!$L$2))</f>
        <v>#DIV/0!</v>
      </c>
      <c r="K56" s="29" t="e">
        <f>'Sheet 2. County Level Data'!$T$13+(0.25*10000000*('Formula Calculations (LOCKED)'!H56/'Formula Calculations (LOCKED)'!$H$2))+(0.25*10000000*('Formula Calculations (LOCKED)'!D56/'Formula Calculations (LOCKED)'!$D$2))+(0.25*10000000*('Formula Calculations (LOCKED)'!O56/'Formula Calculations (LOCKED)'!$O$2))</f>
        <v>#DIV/0!</v>
      </c>
      <c r="L56" s="29" t="e">
        <f>IF('Formula Calculations (LOCKED)'!$G56=1,('Sheet 2. County Level Data'!$P$12*('Formula Calculations (LOCKED)'!K56/'Formula Calculations (LOCKED)'!$K$2)),((10000000-'Sheet 2. County Level Data'!$P$12)*'Formula Calculations (LOCKED)'!J56/'Formula Calculations (LOCKED)'!$J$2))</f>
        <v>#DIV/0!</v>
      </c>
      <c r="M56" s="29" t="e">
        <f>IF('Formula Calculations (LOCKED)'!$G56=1,((0.5*'Sheet 2. County Level Data'!$P$12)*('Formula Calculations (LOCKED)'!K56/'Formula Calculations (LOCKED)'!$K$2))+((0.5*'Sheet 2. County Level Data'!$P$12)*('Formula Calculations (LOCKED)'!N56/'Formula Calculations (LOCKED)'!$N$2)),((0.5*(10000000-'Sheet 2. County Level Data'!$P$12))*('Formula Calculations (LOCKED)'!J56/'Formula Calculations (LOCKED)'!$J$2))+((0.5*(10000000-'Sheet 2. County Level Data'!$P$12))*('Formula Calculations (LOCKED)'!M56/'Formula Calculations (LOCKED)'!$M$2)))</f>
        <v>#DIV/0!</v>
      </c>
      <c r="N56" s="29" t="e">
        <f>IF('Formula Calculations (LOCKED)'!$G56=1,((0.5*'Sheet 2. County Level Data'!$P$12)*('Formula Calculations (LOCKED)'!K56/'Formula Calculations (LOCKED)'!$K$2))+((0.5*'Sheet 2. County Level Data'!$P$12)*('Formula Calculations (LOCKED)'!R56/'Formula Calculations (LOCKED)'!$R$2)),((0.5*(10000000-'Sheet 2. County Level Data'!$P$12))*('Formula Calculations (LOCKED)'!J56/'Formula Calculations (LOCKED)'!$J$2))+((0.5*(10000000-'Sheet 2. County Level Data'!$P$12))*('Formula Calculations (LOCKED)'!Q56/'Formula Calculations (LOCKED)'!$Q$2)))</f>
        <v>#DIV/0!</v>
      </c>
    </row>
    <row r="57" spans="1:14" x14ac:dyDescent="0.2">
      <c r="A57" s="7">
        <f>'Sheet 2. County Level Data'!A55</f>
        <v>0</v>
      </c>
      <c r="B57" s="29" t="e">
        <f>('Formula Calculations (LOCKED)'!C57*'Sheet 2. County Level Data'!$P$4)</f>
        <v>#DIV/0!</v>
      </c>
      <c r="C57" s="29" t="e">
        <f>'Formula Calculations (LOCKED)'!H57/'Formula Calculations (LOCKED)'!$H$2*'Sheet 2. County Level Data'!$P$4</f>
        <v>#DIV/0!</v>
      </c>
      <c r="D57" s="29" t="e">
        <f>('Formula Calculations (LOCKED)'!L57/'Formula Calculations (LOCKED)'!$L$2)*'Sheet 2. County Level Data'!$P$4</f>
        <v>#DIV/0!</v>
      </c>
      <c r="E57" s="29" t="e">
        <f>('Formula Calculations (LOCKED)'!O57/'Formula Calculations (LOCKED)'!$O$2)*'Sheet 2. County Level Data'!$P$4</f>
        <v>#DIV/0!</v>
      </c>
      <c r="F57" s="29" t="e">
        <f>('Formula Calculations (LOCKED)'!D57/'Formula Calculations (LOCKED)'!$D$2)*'Sheet 2. County Level Data'!$P$4</f>
        <v>#DIV/0!</v>
      </c>
      <c r="G57" s="29" t="e">
        <f>'Sheet 2. County Level Data'!$T$11+(0.5*10000000)*'Formula Calculations (LOCKED)'!H57/'Formula Calculations (LOCKED)'!$H$2</f>
        <v>#DIV/0!</v>
      </c>
      <c r="H57" s="29" t="e">
        <f>(0.5*10000000)*'Formula Calculations (LOCKED)'!H57/'Formula Calculations (LOCKED)'!$H$2+(0.5*10000000)*'Formula Calculations (LOCKED)'!D57/'Formula Calculations (LOCKED)'!$D$2</f>
        <v>#DIV/0!</v>
      </c>
      <c r="I57" s="7" t="e">
        <f>'Sheet 2. County Level Data'!$T$12+(0.3333333333*10000000*('Formula Calculations (LOCKED)'!H57/'Formula Calculations (LOCKED)'!$H$2))+(0.3333333333*10000000*('Formula Calculations (LOCKED)'!D57/'Formula Calculations (LOCKED)'!$D$2))</f>
        <v>#DIV/0!</v>
      </c>
      <c r="J57" s="29" t="e">
        <f>'Sheet 2. County Level Data'!$T$13+(0.25*10000000*('Formula Calculations (LOCKED)'!H57/'Formula Calculations (LOCKED)'!$H$2))+(0.25*10000000*('Formula Calculations (LOCKED)'!D57/'Formula Calculations (LOCKED)'!$D$2))+(0.25*10000000*('Formula Calculations (LOCKED)'!L57/'Formula Calculations (LOCKED)'!$L$2))</f>
        <v>#DIV/0!</v>
      </c>
      <c r="K57" s="29" t="e">
        <f>'Sheet 2. County Level Data'!$T$13+(0.25*10000000*('Formula Calculations (LOCKED)'!H57/'Formula Calculations (LOCKED)'!$H$2))+(0.25*10000000*('Formula Calculations (LOCKED)'!D57/'Formula Calculations (LOCKED)'!$D$2))+(0.25*10000000*('Formula Calculations (LOCKED)'!O57/'Formula Calculations (LOCKED)'!$O$2))</f>
        <v>#DIV/0!</v>
      </c>
      <c r="L57" s="29" t="e">
        <f>IF('Formula Calculations (LOCKED)'!$G57=1,('Sheet 2. County Level Data'!$P$12*('Formula Calculations (LOCKED)'!K57/'Formula Calculations (LOCKED)'!$K$2)),((10000000-'Sheet 2. County Level Data'!$P$12)*'Formula Calculations (LOCKED)'!J57/'Formula Calculations (LOCKED)'!$J$2))</f>
        <v>#DIV/0!</v>
      </c>
      <c r="M57" s="29" t="e">
        <f>IF('Formula Calculations (LOCKED)'!$G57=1,((0.5*'Sheet 2. County Level Data'!$P$12)*('Formula Calculations (LOCKED)'!K57/'Formula Calculations (LOCKED)'!$K$2))+((0.5*'Sheet 2. County Level Data'!$P$12)*('Formula Calculations (LOCKED)'!N57/'Formula Calculations (LOCKED)'!$N$2)),((0.5*(10000000-'Sheet 2. County Level Data'!$P$12))*('Formula Calculations (LOCKED)'!J57/'Formula Calculations (LOCKED)'!$J$2))+((0.5*(10000000-'Sheet 2. County Level Data'!$P$12))*('Formula Calculations (LOCKED)'!M57/'Formula Calculations (LOCKED)'!$M$2)))</f>
        <v>#DIV/0!</v>
      </c>
      <c r="N57" s="29" t="e">
        <f>IF('Formula Calculations (LOCKED)'!$G57=1,((0.5*'Sheet 2. County Level Data'!$P$12)*('Formula Calculations (LOCKED)'!K57/'Formula Calculations (LOCKED)'!$K$2))+((0.5*'Sheet 2. County Level Data'!$P$12)*('Formula Calculations (LOCKED)'!R57/'Formula Calculations (LOCKED)'!$R$2)),((0.5*(10000000-'Sheet 2. County Level Data'!$P$12))*('Formula Calculations (LOCKED)'!J57/'Formula Calculations (LOCKED)'!$J$2))+((0.5*(10000000-'Sheet 2. County Level Data'!$P$12))*('Formula Calculations (LOCKED)'!Q57/'Formula Calculations (LOCKED)'!$Q$2)))</f>
        <v>#DIV/0!</v>
      </c>
    </row>
    <row r="58" spans="1:14" x14ac:dyDescent="0.2">
      <c r="A58" s="7">
        <f>'Sheet 2. County Level Data'!A56</f>
        <v>0</v>
      </c>
      <c r="B58" s="29" t="e">
        <f>('Formula Calculations (LOCKED)'!C58*'Sheet 2. County Level Data'!$P$4)</f>
        <v>#DIV/0!</v>
      </c>
      <c r="C58" s="29" t="e">
        <f>'Formula Calculations (LOCKED)'!H58/'Formula Calculations (LOCKED)'!$H$2*'Sheet 2. County Level Data'!$P$4</f>
        <v>#DIV/0!</v>
      </c>
      <c r="D58" s="29" t="e">
        <f>('Formula Calculations (LOCKED)'!L58/'Formula Calculations (LOCKED)'!$L$2)*'Sheet 2. County Level Data'!$P$4</f>
        <v>#DIV/0!</v>
      </c>
      <c r="E58" s="29" t="e">
        <f>('Formula Calculations (LOCKED)'!O58/'Formula Calculations (LOCKED)'!$O$2)*'Sheet 2. County Level Data'!$P$4</f>
        <v>#DIV/0!</v>
      </c>
      <c r="F58" s="29" t="e">
        <f>('Formula Calculations (LOCKED)'!D58/'Formula Calculations (LOCKED)'!$D$2)*'Sheet 2. County Level Data'!$P$4</f>
        <v>#DIV/0!</v>
      </c>
      <c r="G58" s="29" t="e">
        <f>'Sheet 2. County Level Data'!$T$11+(0.5*10000000)*'Formula Calculations (LOCKED)'!H58/'Formula Calculations (LOCKED)'!$H$2</f>
        <v>#DIV/0!</v>
      </c>
      <c r="H58" s="29" t="e">
        <f>(0.5*10000000)*'Formula Calculations (LOCKED)'!H58/'Formula Calculations (LOCKED)'!$H$2+(0.5*10000000)*'Formula Calculations (LOCKED)'!D58/'Formula Calculations (LOCKED)'!$D$2</f>
        <v>#DIV/0!</v>
      </c>
      <c r="I58" s="7" t="e">
        <f>'Sheet 2. County Level Data'!$T$12+(0.3333333333*10000000*('Formula Calculations (LOCKED)'!H58/'Formula Calculations (LOCKED)'!$H$2))+(0.3333333333*10000000*('Formula Calculations (LOCKED)'!D58/'Formula Calculations (LOCKED)'!$D$2))</f>
        <v>#DIV/0!</v>
      </c>
      <c r="J58" s="29" t="e">
        <f>'Sheet 2. County Level Data'!$T$13+(0.25*10000000*('Formula Calculations (LOCKED)'!H58/'Formula Calculations (LOCKED)'!$H$2))+(0.25*10000000*('Formula Calculations (LOCKED)'!D58/'Formula Calculations (LOCKED)'!$D$2))+(0.25*10000000*('Formula Calculations (LOCKED)'!L58/'Formula Calculations (LOCKED)'!$L$2))</f>
        <v>#DIV/0!</v>
      </c>
      <c r="K58" s="29" t="e">
        <f>'Sheet 2. County Level Data'!$T$13+(0.25*10000000*('Formula Calculations (LOCKED)'!H58/'Formula Calculations (LOCKED)'!$H$2))+(0.25*10000000*('Formula Calculations (LOCKED)'!D58/'Formula Calculations (LOCKED)'!$D$2))+(0.25*10000000*('Formula Calculations (LOCKED)'!O58/'Formula Calculations (LOCKED)'!$O$2))</f>
        <v>#DIV/0!</v>
      </c>
      <c r="L58" s="29" t="e">
        <f>IF('Formula Calculations (LOCKED)'!$G58=1,('Sheet 2. County Level Data'!$P$12*('Formula Calculations (LOCKED)'!K58/'Formula Calculations (LOCKED)'!$K$2)),((10000000-'Sheet 2. County Level Data'!$P$12)*'Formula Calculations (LOCKED)'!J58/'Formula Calculations (LOCKED)'!$J$2))</f>
        <v>#DIV/0!</v>
      </c>
      <c r="M58" s="29" t="e">
        <f>IF('Formula Calculations (LOCKED)'!$G58=1,((0.5*'Sheet 2. County Level Data'!$P$12)*('Formula Calculations (LOCKED)'!K58/'Formula Calculations (LOCKED)'!$K$2))+((0.5*'Sheet 2. County Level Data'!$P$12)*('Formula Calculations (LOCKED)'!N58/'Formula Calculations (LOCKED)'!$N$2)),((0.5*(10000000-'Sheet 2. County Level Data'!$P$12))*('Formula Calculations (LOCKED)'!J58/'Formula Calculations (LOCKED)'!$J$2))+((0.5*(10000000-'Sheet 2. County Level Data'!$P$12))*('Formula Calculations (LOCKED)'!M58/'Formula Calculations (LOCKED)'!$M$2)))</f>
        <v>#DIV/0!</v>
      </c>
      <c r="N58" s="29" t="e">
        <f>IF('Formula Calculations (LOCKED)'!$G58=1,((0.5*'Sheet 2. County Level Data'!$P$12)*('Formula Calculations (LOCKED)'!K58/'Formula Calculations (LOCKED)'!$K$2))+((0.5*'Sheet 2. County Level Data'!$P$12)*('Formula Calculations (LOCKED)'!R58/'Formula Calculations (LOCKED)'!$R$2)),((0.5*(10000000-'Sheet 2. County Level Data'!$P$12))*('Formula Calculations (LOCKED)'!J58/'Formula Calculations (LOCKED)'!$J$2))+((0.5*(10000000-'Sheet 2. County Level Data'!$P$12))*('Formula Calculations (LOCKED)'!Q58/'Formula Calculations (LOCKED)'!$Q$2)))</f>
        <v>#DIV/0!</v>
      </c>
    </row>
    <row r="59" spans="1:14" x14ac:dyDescent="0.2">
      <c r="A59" s="7">
        <f>'Sheet 2. County Level Data'!A57</f>
        <v>0</v>
      </c>
      <c r="B59" s="29" t="e">
        <f>('Formula Calculations (LOCKED)'!C59*'Sheet 2. County Level Data'!$P$4)</f>
        <v>#DIV/0!</v>
      </c>
      <c r="C59" s="29" t="e">
        <f>'Formula Calculations (LOCKED)'!H59/'Formula Calculations (LOCKED)'!$H$2*'Sheet 2. County Level Data'!$P$4</f>
        <v>#DIV/0!</v>
      </c>
      <c r="D59" s="29" t="e">
        <f>('Formula Calculations (LOCKED)'!L59/'Formula Calculations (LOCKED)'!$L$2)*'Sheet 2. County Level Data'!$P$4</f>
        <v>#DIV/0!</v>
      </c>
      <c r="E59" s="29" t="e">
        <f>('Formula Calculations (LOCKED)'!O59/'Formula Calculations (LOCKED)'!$O$2)*'Sheet 2. County Level Data'!$P$4</f>
        <v>#DIV/0!</v>
      </c>
      <c r="F59" s="29" t="e">
        <f>('Formula Calculations (LOCKED)'!D59/'Formula Calculations (LOCKED)'!$D$2)*'Sheet 2. County Level Data'!$P$4</f>
        <v>#DIV/0!</v>
      </c>
      <c r="G59" s="29" t="e">
        <f>'Sheet 2. County Level Data'!$T$11+(0.5*10000000)*'Formula Calculations (LOCKED)'!H59/'Formula Calculations (LOCKED)'!$H$2</f>
        <v>#DIV/0!</v>
      </c>
      <c r="H59" s="29" t="e">
        <f>(0.5*10000000)*'Formula Calculations (LOCKED)'!H59/'Formula Calculations (LOCKED)'!$H$2+(0.5*10000000)*'Formula Calculations (LOCKED)'!D59/'Formula Calculations (LOCKED)'!$D$2</f>
        <v>#DIV/0!</v>
      </c>
      <c r="I59" s="7" t="e">
        <f>'Sheet 2. County Level Data'!$T$12+(0.3333333333*10000000*('Formula Calculations (LOCKED)'!H59/'Formula Calculations (LOCKED)'!$H$2))+(0.3333333333*10000000*('Formula Calculations (LOCKED)'!D59/'Formula Calculations (LOCKED)'!$D$2))</f>
        <v>#DIV/0!</v>
      </c>
      <c r="J59" s="29" t="e">
        <f>'Sheet 2. County Level Data'!$T$13+(0.25*10000000*('Formula Calculations (LOCKED)'!H59/'Formula Calculations (LOCKED)'!$H$2))+(0.25*10000000*('Formula Calculations (LOCKED)'!D59/'Formula Calculations (LOCKED)'!$D$2))+(0.25*10000000*('Formula Calculations (LOCKED)'!L59/'Formula Calculations (LOCKED)'!$L$2))</f>
        <v>#DIV/0!</v>
      </c>
      <c r="K59" s="29" t="e">
        <f>'Sheet 2. County Level Data'!$T$13+(0.25*10000000*('Formula Calculations (LOCKED)'!H59/'Formula Calculations (LOCKED)'!$H$2))+(0.25*10000000*('Formula Calculations (LOCKED)'!D59/'Formula Calculations (LOCKED)'!$D$2))+(0.25*10000000*('Formula Calculations (LOCKED)'!O59/'Formula Calculations (LOCKED)'!$O$2))</f>
        <v>#DIV/0!</v>
      </c>
      <c r="L59" s="29" t="e">
        <f>IF('Formula Calculations (LOCKED)'!$G59=1,('Sheet 2. County Level Data'!$P$12*('Formula Calculations (LOCKED)'!K59/'Formula Calculations (LOCKED)'!$K$2)),((10000000-'Sheet 2. County Level Data'!$P$12)*'Formula Calculations (LOCKED)'!J59/'Formula Calculations (LOCKED)'!$J$2))</f>
        <v>#DIV/0!</v>
      </c>
      <c r="M59" s="29" t="e">
        <f>IF('Formula Calculations (LOCKED)'!$G59=1,((0.5*'Sheet 2. County Level Data'!$P$12)*('Formula Calculations (LOCKED)'!K59/'Formula Calculations (LOCKED)'!$K$2))+((0.5*'Sheet 2. County Level Data'!$P$12)*('Formula Calculations (LOCKED)'!N59/'Formula Calculations (LOCKED)'!$N$2)),((0.5*(10000000-'Sheet 2. County Level Data'!$P$12))*('Formula Calculations (LOCKED)'!J59/'Formula Calculations (LOCKED)'!$J$2))+((0.5*(10000000-'Sheet 2. County Level Data'!$P$12))*('Formula Calculations (LOCKED)'!M59/'Formula Calculations (LOCKED)'!$M$2)))</f>
        <v>#DIV/0!</v>
      </c>
      <c r="N59" s="29" t="e">
        <f>IF('Formula Calculations (LOCKED)'!$G59=1,((0.5*'Sheet 2. County Level Data'!$P$12)*('Formula Calculations (LOCKED)'!K59/'Formula Calculations (LOCKED)'!$K$2))+((0.5*'Sheet 2. County Level Data'!$P$12)*('Formula Calculations (LOCKED)'!R59/'Formula Calculations (LOCKED)'!$R$2)),((0.5*(10000000-'Sheet 2. County Level Data'!$P$12))*('Formula Calculations (LOCKED)'!J59/'Formula Calculations (LOCKED)'!$J$2))+((0.5*(10000000-'Sheet 2. County Level Data'!$P$12))*('Formula Calculations (LOCKED)'!Q59/'Formula Calculations (LOCKED)'!$Q$2)))</f>
        <v>#DIV/0!</v>
      </c>
    </row>
    <row r="60" spans="1:14" x14ac:dyDescent="0.2">
      <c r="A60" s="7">
        <f>'Sheet 2. County Level Data'!A58</f>
        <v>0</v>
      </c>
      <c r="B60" s="29" t="e">
        <f>('Formula Calculations (LOCKED)'!C60*'Sheet 2. County Level Data'!$P$4)</f>
        <v>#DIV/0!</v>
      </c>
      <c r="C60" s="29" t="e">
        <f>'Formula Calculations (LOCKED)'!H60/'Formula Calculations (LOCKED)'!$H$2*'Sheet 2. County Level Data'!$P$4</f>
        <v>#DIV/0!</v>
      </c>
      <c r="D60" s="29" t="e">
        <f>('Formula Calculations (LOCKED)'!L60/'Formula Calculations (LOCKED)'!$L$2)*'Sheet 2. County Level Data'!$P$4</f>
        <v>#DIV/0!</v>
      </c>
      <c r="E60" s="29" t="e">
        <f>('Formula Calculations (LOCKED)'!O60/'Formula Calculations (LOCKED)'!$O$2)*'Sheet 2. County Level Data'!$P$4</f>
        <v>#DIV/0!</v>
      </c>
      <c r="F60" s="29" t="e">
        <f>('Formula Calculations (LOCKED)'!D60/'Formula Calculations (LOCKED)'!$D$2)*'Sheet 2. County Level Data'!$P$4</f>
        <v>#DIV/0!</v>
      </c>
      <c r="G60" s="29" t="e">
        <f>'Sheet 2. County Level Data'!$T$11+(0.5*10000000)*'Formula Calculations (LOCKED)'!H60/'Formula Calculations (LOCKED)'!$H$2</f>
        <v>#DIV/0!</v>
      </c>
      <c r="H60" s="29" t="e">
        <f>(0.5*10000000)*'Formula Calculations (LOCKED)'!H60/'Formula Calculations (LOCKED)'!$H$2+(0.5*10000000)*'Formula Calculations (LOCKED)'!D60/'Formula Calculations (LOCKED)'!$D$2</f>
        <v>#DIV/0!</v>
      </c>
      <c r="I60" s="7" t="e">
        <f>'Sheet 2. County Level Data'!$T$12+(0.3333333333*10000000*('Formula Calculations (LOCKED)'!H60/'Formula Calculations (LOCKED)'!$H$2))+(0.3333333333*10000000*('Formula Calculations (LOCKED)'!D60/'Formula Calculations (LOCKED)'!$D$2))</f>
        <v>#DIV/0!</v>
      </c>
      <c r="J60" s="29" t="e">
        <f>'Sheet 2. County Level Data'!$T$13+(0.25*10000000*('Formula Calculations (LOCKED)'!H60/'Formula Calculations (LOCKED)'!$H$2))+(0.25*10000000*('Formula Calculations (LOCKED)'!D60/'Formula Calculations (LOCKED)'!$D$2))+(0.25*10000000*('Formula Calculations (LOCKED)'!L60/'Formula Calculations (LOCKED)'!$L$2))</f>
        <v>#DIV/0!</v>
      </c>
      <c r="K60" s="29" t="e">
        <f>'Sheet 2. County Level Data'!$T$13+(0.25*10000000*('Formula Calculations (LOCKED)'!H60/'Formula Calculations (LOCKED)'!$H$2))+(0.25*10000000*('Formula Calculations (LOCKED)'!D60/'Formula Calculations (LOCKED)'!$D$2))+(0.25*10000000*('Formula Calculations (LOCKED)'!O60/'Formula Calculations (LOCKED)'!$O$2))</f>
        <v>#DIV/0!</v>
      </c>
      <c r="L60" s="29" t="e">
        <f>IF('Formula Calculations (LOCKED)'!$G60=1,('Sheet 2. County Level Data'!$P$12*('Formula Calculations (LOCKED)'!K60/'Formula Calculations (LOCKED)'!$K$2)),((10000000-'Sheet 2. County Level Data'!$P$12)*'Formula Calculations (LOCKED)'!J60/'Formula Calculations (LOCKED)'!$J$2))</f>
        <v>#DIV/0!</v>
      </c>
      <c r="M60" s="29" t="e">
        <f>IF('Formula Calculations (LOCKED)'!$G60=1,((0.5*'Sheet 2. County Level Data'!$P$12)*('Formula Calculations (LOCKED)'!K60/'Formula Calculations (LOCKED)'!$K$2))+((0.5*'Sheet 2. County Level Data'!$P$12)*('Formula Calculations (LOCKED)'!N60/'Formula Calculations (LOCKED)'!$N$2)),((0.5*(10000000-'Sheet 2. County Level Data'!$P$12))*('Formula Calculations (LOCKED)'!J60/'Formula Calculations (LOCKED)'!$J$2))+((0.5*(10000000-'Sheet 2. County Level Data'!$P$12))*('Formula Calculations (LOCKED)'!M60/'Formula Calculations (LOCKED)'!$M$2)))</f>
        <v>#DIV/0!</v>
      </c>
      <c r="N60" s="29" t="e">
        <f>IF('Formula Calculations (LOCKED)'!$G60=1,((0.5*'Sheet 2. County Level Data'!$P$12)*('Formula Calculations (LOCKED)'!K60/'Formula Calculations (LOCKED)'!$K$2))+((0.5*'Sheet 2. County Level Data'!$P$12)*('Formula Calculations (LOCKED)'!R60/'Formula Calculations (LOCKED)'!$R$2)),((0.5*(10000000-'Sheet 2. County Level Data'!$P$12))*('Formula Calculations (LOCKED)'!J60/'Formula Calculations (LOCKED)'!$J$2))+((0.5*(10000000-'Sheet 2. County Level Data'!$P$12))*('Formula Calculations (LOCKED)'!Q60/'Formula Calculations (LOCKED)'!$Q$2)))</f>
        <v>#DIV/0!</v>
      </c>
    </row>
    <row r="61" spans="1:14" x14ac:dyDescent="0.2">
      <c r="A61" s="7">
        <f>'Sheet 2. County Level Data'!A59</f>
        <v>0</v>
      </c>
      <c r="B61" s="29" t="e">
        <f>('Formula Calculations (LOCKED)'!C61*'Sheet 2. County Level Data'!$P$4)</f>
        <v>#DIV/0!</v>
      </c>
      <c r="C61" s="29" t="e">
        <f>'Formula Calculations (LOCKED)'!H61/'Formula Calculations (LOCKED)'!$H$2*'Sheet 2. County Level Data'!$P$4</f>
        <v>#DIV/0!</v>
      </c>
      <c r="D61" s="29" t="e">
        <f>('Formula Calculations (LOCKED)'!L61/'Formula Calculations (LOCKED)'!$L$2)*'Sheet 2. County Level Data'!$P$4</f>
        <v>#DIV/0!</v>
      </c>
      <c r="E61" s="29" t="e">
        <f>('Formula Calculations (LOCKED)'!O61/'Formula Calculations (LOCKED)'!$O$2)*'Sheet 2. County Level Data'!$P$4</f>
        <v>#DIV/0!</v>
      </c>
      <c r="F61" s="29" t="e">
        <f>('Formula Calculations (LOCKED)'!D61/'Formula Calculations (LOCKED)'!$D$2)*'Sheet 2. County Level Data'!$P$4</f>
        <v>#DIV/0!</v>
      </c>
      <c r="G61" s="29" t="e">
        <f>'Sheet 2. County Level Data'!$T$11+(0.5*10000000)*'Formula Calculations (LOCKED)'!H61/'Formula Calculations (LOCKED)'!$H$2</f>
        <v>#DIV/0!</v>
      </c>
      <c r="H61" s="29" t="e">
        <f>(0.5*10000000)*'Formula Calculations (LOCKED)'!H61/'Formula Calculations (LOCKED)'!$H$2+(0.5*10000000)*'Formula Calculations (LOCKED)'!D61/'Formula Calculations (LOCKED)'!$D$2</f>
        <v>#DIV/0!</v>
      </c>
      <c r="I61" s="7" t="e">
        <f>'Sheet 2. County Level Data'!$T$12+(0.3333333333*10000000*('Formula Calculations (LOCKED)'!H61/'Formula Calculations (LOCKED)'!$H$2))+(0.3333333333*10000000*('Formula Calculations (LOCKED)'!D61/'Formula Calculations (LOCKED)'!$D$2))</f>
        <v>#DIV/0!</v>
      </c>
      <c r="J61" s="29" t="e">
        <f>'Sheet 2. County Level Data'!$T$13+(0.25*10000000*('Formula Calculations (LOCKED)'!H61/'Formula Calculations (LOCKED)'!$H$2))+(0.25*10000000*('Formula Calculations (LOCKED)'!D61/'Formula Calculations (LOCKED)'!$D$2))+(0.25*10000000*('Formula Calculations (LOCKED)'!L61/'Formula Calculations (LOCKED)'!$L$2))</f>
        <v>#DIV/0!</v>
      </c>
      <c r="K61" s="29" t="e">
        <f>'Sheet 2. County Level Data'!$T$13+(0.25*10000000*('Formula Calculations (LOCKED)'!H61/'Formula Calculations (LOCKED)'!$H$2))+(0.25*10000000*('Formula Calculations (LOCKED)'!D61/'Formula Calculations (LOCKED)'!$D$2))+(0.25*10000000*('Formula Calculations (LOCKED)'!O61/'Formula Calculations (LOCKED)'!$O$2))</f>
        <v>#DIV/0!</v>
      </c>
      <c r="L61" s="29" t="e">
        <f>IF('Formula Calculations (LOCKED)'!$G61=1,('Sheet 2. County Level Data'!$P$12*('Formula Calculations (LOCKED)'!K61/'Formula Calculations (LOCKED)'!$K$2)),((10000000-'Sheet 2. County Level Data'!$P$12)*'Formula Calculations (LOCKED)'!J61/'Formula Calculations (LOCKED)'!$J$2))</f>
        <v>#DIV/0!</v>
      </c>
      <c r="M61" s="29" t="e">
        <f>IF('Formula Calculations (LOCKED)'!$G61=1,((0.5*'Sheet 2. County Level Data'!$P$12)*('Formula Calculations (LOCKED)'!K61/'Formula Calculations (LOCKED)'!$K$2))+((0.5*'Sheet 2. County Level Data'!$P$12)*('Formula Calculations (LOCKED)'!N61/'Formula Calculations (LOCKED)'!$N$2)),((0.5*(10000000-'Sheet 2. County Level Data'!$P$12))*('Formula Calculations (LOCKED)'!J61/'Formula Calculations (LOCKED)'!$J$2))+((0.5*(10000000-'Sheet 2. County Level Data'!$P$12))*('Formula Calculations (LOCKED)'!M61/'Formula Calculations (LOCKED)'!$M$2)))</f>
        <v>#DIV/0!</v>
      </c>
      <c r="N61" s="29" t="e">
        <f>IF('Formula Calculations (LOCKED)'!$G61=1,((0.5*'Sheet 2. County Level Data'!$P$12)*('Formula Calculations (LOCKED)'!K61/'Formula Calculations (LOCKED)'!$K$2))+((0.5*'Sheet 2. County Level Data'!$P$12)*('Formula Calculations (LOCKED)'!R61/'Formula Calculations (LOCKED)'!$R$2)),((0.5*(10000000-'Sheet 2. County Level Data'!$P$12))*('Formula Calculations (LOCKED)'!J61/'Formula Calculations (LOCKED)'!$J$2))+((0.5*(10000000-'Sheet 2. County Level Data'!$P$12))*('Formula Calculations (LOCKED)'!Q61/'Formula Calculations (LOCKED)'!$Q$2)))</f>
        <v>#DIV/0!</v>
      </c>
    </row>
    <row r="62" spans="1:14" x14ac:dyDescent="0.2">
      <c r="A62" s="7">
        <f>'Sheet 2. County Level Data'!A60</f>
        <v>0</v>
      </c>
      <c r="B62" s="29" t="e">
        <f>('Formula Calculations (LOCKED)'!C62*'Sheet 2. County Level Data'!$P$4)</f>
        <v>#DIV/0!</v>
      </c>
      <c r="C62" s="29" t="e">
        <f>'Formula Calculations (LOCKED)'!H62/'Formula Calculations (LOCKED)'!$H$2*'Sheet 2. County Level Data'!$P$4</f>
        <v>#DIV/0!</v>
      </c>
      <c r="D62" s="29" t="e">
        <f>('Formula Calculations (LOCKED)'!L62/'Formula Calculations (LOCKED)'!$L$2)*'Sheet 2. County Level Data'!$P$4</f>
        <v>#DIV/0!</v>
      </c>
      <c r="E62" s="29" t="e">
        <f>('Formula Calculations (LOCKED)'!O62/'Formula Calculations (LOCKED)'!$O$2)*'Sheet 2. County Level Data'!$P$4</f>
        <v>#DIV/0!</v>
      </c>
      <c r="F62" s="29" t="e">
        <f>('Formula Calculations (LOCKED)'!D62/'Formula Calculations (LOCKED)'!$D$2)*'Sheet 2. County Level Data'!$P$4</f>
        <v>#DIV/0!</v>
      </c>
      <c r="G62" s="29" t="e">
        <f>'Sheet 2. County Level Data'!$T$11+(0.5*10000000)*'Formula Calculations (LOCKED)'!H62/'Formula Calculations (LOCKED)'!$H$2</f>
        <v>#DIV/0!</v>
      </c>
      <c r="H62" s="29" t="e">
        <f>(0.5*10000000)*'Formula Calculations (LOCKED)'!H62/'Formula Calculations (LOCKED)'!$H$2+(0.5*10000000)*'Formula Calculations (LOCKED)'!D62/'Formula Calculations (LOCKED)'!$D$2</f>
        <v>#DIV/0!</v>
      </c>
      <c r="I62" s="7" t="e">
        <f>'Sheet 2. County Level Data'!$T$12+(0.3333333333*10000000*('Formula Calculations (LOCKED)'!H62/'Formula Calculations (LOCKED)'!$H$2))+(0.3333333333*10000000*('Formula Calculations (LOCKED)'!D62/'Formula Calculations (LOCKED)'!$D$2))</f>
        <v>#DIV/0!</v>
      </c>
      <c r="J62" s="29" t="e">
        <f>'Sheet 2. County Level Data'!$T$13+(0.25*10000000*('Formula Calculations (LOCKED)'!H62/'Formula Calculations (LOCKED)'!$H$2))+(0.25*10000000*('Formula Calculations (LOCKED)'!D62/'Formula Calculations (LOCKED)'!$D$2))+(0.25*10000000*('Formula Calculations (LOCKED)'!L62/'Formula Calculations (LOCKED)'!$L$2))</f>
        <v>#DIV/0!</v>
      </c>
      <c r="K62" s="29" t="e">
        <f>'Sheet 2. County Level Data'!$T$13+(0.25*10000000*('Formula Calculations (LOCKED)'!H62/'Formula Calculations (LOCKED)'!$H$2))+(0.25*10000000*('Formula Calculations (LOCKED)'!D62/'Formula Calculations (LOCKED)'!$D$2))+(0.25*10000000*('Formula Calculations (LOCKED)'!O62/'Formula Calculations (LOCKED)'!$O$2))</f>
        <v>#DIV/0!</v>
      </c>
      <c r="L62" s="29" t="e">
        <f>IF('Formula Calculations (LOCKED)'!$G62=1,('Sheet 2. County Level Data'!$P$12*('Formula Calculations (LOCKED)'!K62/'Formula Calculations (LOCKED)'!$K$2)),((10000000-'Sheet 2. County Level Data'!$P$12)*'Formula Calculations (LOCKED)'!J62/'Formula Calculations (LOCKED)'!$J$2))</f>
        <v>#DIV/0!</v>
      </c>
      <c r="M62" s="29" t="e">
        <f>IF('Formula Calculations (LOCKED)'!$G62=1,((0.5*'Sheet 2. County Level Data'!$P$12)*('Formula Calculations (LOCKED)'!K62/'Formula Calculations (LOCKED)'!$K$2))+((0.5*'Sheet 2. County Level Data'!$P$12)*('Formula Calculations (LOCKED)'!N62/'Formula Calculations (LOCKED)'!$N$2)),((0.5*(10000000-'Sheet 2. County Level Data'!$P$12))*('Formula Calculations (LOCKED)'!J62/'Formula Calculations (LOCKED)'!$J$2))+((0.5*(10000000-'Sheet 2. County Level Data'!$P$12))*('Formula Calculations (LOCKED)'!M62/'Formula Calculations (LOCKED)'!$M$2)))</f>
        <v>#DIV/0!</v>
      </c>
      <c r="N62" s="29" t="e">
        <f>IF('Formula Calculations (LOCKED)'!$G62=1,((0.5*'Sheet 2. County Level Data'!$P$12)*('Formula Calculations (LOCKED)'!K62/'Formula Calculations (LOCKED)'!$K$2))+((0.5*'Sheet 2. County Level Data'!$P$12)*('Formula Calculations (LOCKED)'!R62/'Formula Calculations (LOCKED)'!$R$2)),((0.5*(10000000-'Sheet 2. County Level Data'!$P$12))*('Formula Calculations (LOCKED)'!J62/'Formula Calculations (LOCKED)'!$J$2))+((0.5*(10000000-'Sheet 2. County Level Data'!$P$12))*('Formula Calculations (LOCKED)'!Q62/'Formula Calculations (LOCKED)'!$Q$2)))</f>
        <v>#DIV/0!</v>
      </c>
    </row>
    <row r="63" spans="1:14" x14ac:dyDescent="0.2">
      <c r="A63" s="7">
        <f>'Sheet 2. County Level Data'!A61</f>
        <v>0</v>
      </c>
      <c r="B63" s="29" t="e">
        <f>('Formula Calculations (LOCKED)'!C63*'Sheet 2. County Level Data'!$P$4)</f>
        <v>#DIV/0!</v>
      </c>
      <c r="C63" s="29" t="e">
        <f>'Formula Calculations (LOCKED)'!H63/'Formula Calculations (LOCKED)'!$H$2*'Sheet 2. County Level Data'!$P$4</f>
        <v>#DIV/0!</v>
      </c>
      <c r="D63" s="29" t="e">
        <f>('Formula Calculations (LOCKED)'!L63/'Formula Calculations (LOCKED)'!$L$2)*'Sheet 2. County Level Data'!$P$4</f>
        <v>#DIV/0!</v>
      </c>
      <c r="E63" s="29" t="e">
        <f>('Formula Calculations (LOCKED)'!O63/'Formula Calculations (LOCKED)'!$O$2)*'Sheet 2. County Level Data'!$P$4</f>
        <v>#DIV/0!</v>
      </c>
      <c r="F63" s="29" t="e">
        <f>('Formula Calculations (LOCKED)'!D63/'Formula Calculations (LOCKED)'!$D$2)*'Sheet 2. County Level Data'!$P$4</f>
        <v>#DIV/0!</v>
      </c>
      <c r="G63" s="29" t="e">
        <f>'Sheet 2. County Level Data'!$T$11+(0.5*10000000)*'Formula Calculations (LOCKED)'!H63/'Formula Calculations (LOCKED)'!$H$2</f>
        <v>#DIV/0!</v>
      </c>
      <c r="H63" s="29" t="e">
        <f>(0.5*10000000)*'Formula Calculations (LOCKED)'!H63/'Formula Calculations (LOCKED)'!$H$2+(0.5*10000000)*'Formula Calculations (LOCKED)'!D63/'Formula Calculations (LOCKED)'!$D$2</f>
        <v>#DIV/0!</v>
      </c>
      <c r="I63" s="7" t="e">
        <f>'Sheet 2. County Level Data'!$T$12+(0.3333333333*10000000*('Formula Calculations (LOCKED)'!H63/'Formula Calculations (LOCKED)'!$H$2))+(0.3333333333*10000000*('Formula Calculations (LOCKED)'!D63/'Formula Calculations (LOCKED)'!$D$2))</f>
        <v>#DIV/0!</v>
      </c>
      <c r="J63" s="29" t="e">
        <f>'Sheet 2. County Level Data'!$T$13+(0.25*10000000*('Formula Calculations (LOCKED)'!H63/'Formula Calculations (LOCKED)'!$H$2))+(0.25*10000000*('Formula Calculations (LOCKED)'!D63/'Formula Calculations (LOCKED)'!$D$2))+(0.25*10000000*('Formula Calculations (LOCKED)'!L63/'Formula Calculations (LOCKED)'!$L$2))</f>
        <v>#DIV/0!</v>
      </c>
      <c r="K63" s="29" t="e">
        <f>'Sheet 2. County Level Data'!$T$13+(0.25*10000000*('Formula Calculations (LOCKED)'!H63/'Formula Calculations (LOCKED)'!$H$2))+(0.25*10000000*('Formula Calculations (LOCKED)'!D63/'Formula Calculations (LOCKED)'!$D$2))+(0.25*10000000*('Formula Calculations (LOCKED)'!O63/'Formula Calculations (LOCKED)'!$O$2))</f>
        <v>#DIV/0!</v>
      </c>
      <c r="L63" s="29" t="e">
        <f>IF('Formula Calculations (LOCKED)'!$G63=1,('Sheet 2. County Level Data'!$P$12*('Formula Calculations (LOCKED)'!K63/'Formula Calculations (LOCKED)'!$K$2)),((10000000-'Sheet 2. County Level Data'!$P$12)*'Formula Calculations (LOCKED)'!J63/'Formula Calculations (LOCKED)'!$J$2))</f>
        <v>#DIV/0!</v>
      </c>
      <c r="M63" s="29" t="e">
        <f>IF('Formula Calculations (LOCKED)'!$G63=1,((0.5*'Sheet 2. County Level Data'!$P$12)*('Formula Calculations (LOCKED)'!K63/'Formula Calculations (LOCKED)'!$K$2))+((0.5*'Sheet 2. County Level Data'!$P$12)*('Formula Calculations (LOCKED)'!N63/'Formula Calculations (LOCKED)'!$N$2)),((0.5*(10000000-'Sheet 2. County Level Data'!$P$12))*('Formula Calculations (LOCKED)'!J63/'Formula Calculations (LOCKED)'!$J$2))+((0.5*(10000000-'Sheet 2. County Level Data'!$P$12))*('Formula Calculations (LOCKED)'!M63/'Formula Calculations (LOCKED)'!$M$2)))</f>
        <v>#DIV/0!</v>
      </c>
      <c r="N63" s="29" t="e">
        <f>IF('Formula Calculations (LOCKED)'!$G63=1,((0.5*'Sheet 2. County Level Data'!$P$12)*('Formula Calculations (LOCKED)'!K63/'Formula Calculations (LOCKED)'!$K$2))+((0.5*'Sheet 2. County Level Data'!$P$12)*('Formula Calculations (LOCKED)'!R63/'Formula Calculations (LOCKED)'!$R$2)),((0.5*(10000000-'Sheet 2. County Level Data'!$P$12))*('Formula Calculations (LOCKED)'!J63/'Formula Calculations (LOCKED)'!$J$2))+((0.5*(10000000-'Sheet 2. County Level Data'!$P$12))*('Formula Calculations (LOCKED)'!Q63/'Formula Calculations (LOCKED)'!$Q$2)))</f>
        <v>#DIV/0!</v>
      </c>
    </row>
    <row r="64" spans="1:14" x14ac:dyDescent="0.2">
      <c r="A64" s="7">
        <f>'Sheet 2. County Level Data'!A62</f>
        <v>0</v>
      </c>
      <c r="B64" s="29" t="e">
        <f>('Formula Calculations (LOCKED)'!C64*'Sheet 2. County Level Data'!$P$4)</f>
        <v>#DIV/0!</v>
      </c>
      <c r="C64" s="29" t="e">
        <f>'Formula Calculations (LOCKED)'!H64/'Formula Calculations (LOCKED)'!$H$2*'Sheet 2. County Level Data'!$P$4</f>
        <v>#DIV/0!</v>
      </c>
      <c r="D64" s="29" t="e">
        <f>('Formula Calculations (LOCKED)'!L64/'Formula Calculations (LOCKED)'!$L$2)*'Sheet 2. County Level Data'!$P$4</f>
        <v>#DIV/0!</v>
      </c>
      <c r="E64" s="29" t="e">
        <f>('Formula Calculations (LOCKED)'!O64/'Formula Calculations (LOCKED)'!$O$2)*'Sheet 2. County Level Data'!$P$4</f>
        <v>#DIV/0!</v>
      </c>
      <c r="F64" s="29" t="e">
        <f>('Formula Calculations (LOCKED)'!D64/'Formula Calculations (LOCKED)'!$D$2)*'Sheet 2. County Level Data'!$P$4</f>
        <v>#DIV/0!</v>
      </c>
      <c r="G64" s="29" t="e">
        <f>'Sheet 2. County Level Data'!$T$11+(0.5*10000000)*'Formula Calculations (LOCKED)'!H64/'Formula Calculations (LOCKED)'!$H$2</f>
        <v>#DIV/0!</v>
      </c>
      <c r="H64" s="29" t="e">
        <f>(0.5*10000000)*'Formula Calculations (LOCKED)'!H64/'Formula Calculations (LOCKED)'!$H$2+(0.5*10000000)*'Formula Calculations (LOCKED)'!D64/'Formula Calculations (LOCKED)'!$D$2</f>
        <v>#DIV/0!</v>
      </c>
      <c r="I64" s="7" t="e">
        <f>'Sheet 2. County Level Data'!$T$12+(0.3333333333*10000000*('Formula Calculations (LOCKED)'!H64/'Formula Calculations (LOCKED)'!$H$2))+(0.3333333333*10000000*('Formula Calculations (LOCKED)'!D64/'Formula Calculations (LOCKED)'!$D$2))</f>
        <v>#DIV/0!</v>
      </c>
      <c r="J64" s="29" t="e">
        <f>'Sheet 2. County Level Data'!$T$13+(0.25*10000000*('Formula Calculations (LOCKED)'!H64/'Formula Calculations (LOCKED)'!$H$2))+(0.25*10000000*('Formula Calculations (LOCKED)'!D64/'Formula Calculations (LOCKED)'!$D$2))+(0.25*10000000*('Formula Calculations (LOCKED)'!L64/'Formula Calculations (LOCKED)'!$L$2))</f>
        <v>#DIV/0!</v>
      </c>
      <c r="K64" s="29" t="e">
        <f>'Sheet 2. County Level Data'!$T$13+(0.25*10000000*('Formula Calculations (LOCKED)'!H64/'Formula Calculations (LOCKED)'!$H$2))+(0.25*10000000*('Formula Calculations (LOCKED)'!D64/'Formula Calculations (LOCKED)'!$D$2))+(0.25*10000000*('Formula Calculations (LOCKED)'!O64/'Formula Calculations (LOCKED)'!$O$2))</f>
        <v>#DIV/0!</v>
      </c>
      <c r="L64" s="29" t="e">
        <f>IF('Formula Calculations (LOCKED)'!$G64=1,('Sheet 2. County Level Data'!$P$12*('Formula Calculations (LOCKED)'!K64/'Formula Calculations (LOCKED)'!$K$2)),((10000000-'Sheet 2. County Level Data'!$P$12)*'Formula Calculations (LOCKED)'!J64/'Formula Calculations (LOCKED)'!$J$2))</f>
        <v>#DIV/0!</v>
      </c>
      <c r="M64" s="29" t="e">
        <f>IF('Formula Calculations (LOCKED)'!$G64=1,((0.5*'Sheet 2. County Level Data'!$P$12)*('Formula Calculations (LOCKED)'!K64/'Formula Calculations (LOCKED)'!$K$2))+((0.5*'Sheet 2. County Level Data'!$P$12)*('Formula Calculations (LOCKED)'!N64/'Formula Calculations (LOCKED)'!$N$2)),((0.5*(10000000-'Sheet 2. County Level Data'!$P$12))*('Formula Calculations (LOCKED)'!J64/'Formula Calculations (LOCKED)'!$J$2))+((0.5*(10000000-'Sheet 2. County Level Data'!$P$12))*('Formula Calculations (LOCKED)'!M64/'Formula Calculations (LOCKED)'!$M$2)))</f>
        <v>#DIV/0!</v>
      </c>
      <c r="N64" s="29" t="e">
        <f>IF('Formula Calculations (LOCKED)'!$G64=1,((0.5*'Sheet 2. County Level Data'!$P$12)*('Formula Calculations (LOCKED)'!K64/'Formula Calculations (LOCKED)'!$K$2))+((0.5*'Sheet 2. County Level Data'!$P$12)*('Formula Calculations (LOCKED)'!R64/'Formula Calculations (LOCKED)'!$R$2)),((0.5*(10000000-'Sheet 2. County Level Data'!$P$12))*('Formula Calculations (LOCKED)'!J64/'Formula Calculations (LOCKED)'!$J$2))+((0.5*(10000000-'Sheet 2. County Level Data'!$P$12))*('Formula Calculations (LOCKED)'!Q64/'Formula Calculations (LOCKED)'!$Q$2)))</f>
        <v>#DIV/0!</v>
      </c>
    </row>
    <row r="65" spans="1:14" x14ac:dyDescent="0.2">
      <c r="A65" s="7">
        <f>'Sheet 2. County Level Data'!A63</f>
        <v>0</v>
      </c>
      <c r="B65" s="29" t="e">
        <f>('Formula Calculations (LOCKED)'!C65*'Sheet 2. County Level Data'!$P$4)</f>
        <v>#DIV/0!</v>
      </c>
      <c r="C65" s="29" t="e">
        <f>'Formula Calculations (LOCKED)'!H65/'Formula Calculations (LOCKED)'!$H$2*'Sheet 2. County Level Data'!$P$4</f>
        <v>#DIV/0!</v>
      </c>
      <c r="D65" s="29" t="e">
        <f>('Formula Calculations (LOCKED)'!L65/'Formula Calculations (LOCKED)'!$L$2)*'Sheet 2. County Level Data'!$P$4</f>
        <v>#DIV/0!</v>
      </c>
      <c r="E65" s="29" t="e">
        <f>('Formula Calculations (LOCKED)'!O65/'Formula Calculations (LOCKED)'!$O$2)*'Sheet 2. County Level Data'!$P$4</f>
        <v>#DIV/0!</v>
      </c>
      <c r="F65" s="29" t="e">
        <f>('Formula Calculations (LOCKED)'!D65/'Formula Calculations (LOCKED)'!$D$2)*'Sheet 2. County Level Data'!$P$4</f>
        <v>#DIV/0!</v>
      </c>
      <c r="G65" s="29" t="e">
        <f>'Sheet 2. County Level Data'!$T$11+(0.5*10000000)*'Formula Calculations (LOCKED)'!H65/'Formula Calculations (LOCKED)'!$H$2</f>
        <v>#DIV/0!</v>
      </c>
      <c r="H65" s="29" t="e">
        <f>(0.5*10000000)*'Formula Calculations (LOCKED)'!H65/'Formula Calculations (LOCKED)'!$H$2+(0.5*10000000)*'Formula Calculations (LOCKED)'!D65/'Formula Calculations (LOCKED)'!$D$2</f>
        <v>#DIV/0!</v>
      </c>
      <c r="I65" s="7" t="e">
        <f>'Sheet 2. County Level Data'!$T$12+(0.3333333333*10000000*('Formula Calculations (LOCKED)'!H65/'Formula Calculations (LOCKED)'!$H$2))+(0.3333333333*10000000*('Formula Calculations (LOCKED)'!D65/'Formula Calculations (LOCKED)'!$D$2))</f>
        <v>#DIV/0!</v>
      </c>
      <c r="J65" s="29" t="e">
        <f>'Sheet 2. County Level Data'!$T$13+(0.25*10000000*('Formula Calculations (LOCKED)'!H65/'Formula Calculations (LOCKED)'!$H$2))+(0.25*10000000*('Formula Calculations (LOCKED)'!D65/'Formula Calculations (LOCKED)'!$D$2))+(0.25*10000000*('Formula Calculations (LOCKED)'!L65/'Formula Calculations (LOCKED)'!$L$2))</f>
        <v>#DIV/0!</v>
      </c>
      <c r="K65" s="29" t="e">
        <f>'Sheet 2. County Level Data'!$T$13+(0.25*10000000*('Formula Calculations (LOCKED)'!H65/'Formula Calculations (LOCKED)'!$H$2))+(0.25*10000000*('Formula Calculations (LOCKED)'!D65/'Formula Calculations (LOCKED)'!$D$2))+(0.25*10000000*('Formula Calculations (LOCKED)'!O65/'Formula Calculations (LOCKED)'!$O$2))</f>
        <v>#DIV/0!</v>
      </c>
      <c r="L65" s="29" t="e">
        <f>IF('Formula Calculations (LOCKED)'!$G65=1,('Sheet 2. County Level Data'!$P$12*('Formula Calculations (LOCKED)'!K65/'Formula Calculations (LOCKED)'!$K$2)),((10000000-'Sheet 2. County Level Data'!$P$12)*'Formula Calculations (LOCKED)'!J65/'Formula Calculations (LOCKED)'!$J$2))</f>
        <v>#DIV/0!</v>
      </c>
      <c r="M65" s="29" t="e">
        <f>IF('Formula Calculations (LOCKED)'!$G65=1,((0.5*'Sheet 2. County Level Data'!$P$12)*('Formula Calculations (LOCKED)'!K65/'Formula Calculations (LOCKED)'!$K$2))+((0.5*'Sheet 2. County Level Data'!$P$12)*('Formula Calculations (LOCKED)'!N65/'Formula Calculations (LOCKED)'!$N$2)),((0.5*(10000000-'Sheet 2. County Level Data'!$P$12))*('Formula Calculations (LOCKED)'!J65/'Formula Calculations (LOCKED)'!$J$2))+((0.5*(10000000-'Sheet 2. County Level Data'!$P$12))*('Formula Calculations (LOCKED)'!M65/'Formula Calculations (LOCKED)'!$M$2)))</f>
        <v>#DIV/0!</v>
      </c>
      <c r="N65" s="29" t="e">
        <f>IF('Formula Calculations (LOCKED)'!$G65=1,((0.5*'Sheet 2. County Level Data'!$P$12)*('Formula Calculations (LOCKED)'!K65/'Formula Calculations (LOCKED)'!$K$2))+((0.5*'Sheet 2. County Level Data'!$P$12)*('Formula Calculations (LOCKED)'!R65/'Formula Calculations (LOCKED)'!$R$2)),((0.5*(10000000-'Sheet 2. County Level Data'!$P$12))*('Formula Calculations (LOCKED)'!J65/'Formula Calculations (LOCKED)'!$J$2))+((0.5*(10000000-'Sheet 2. County Level Data'!$P$12))*('Formula Calculations (LOCKED)'!Q65/'Formula Calculations (LOCKED)'!$Q$2)))</f>
        <v>#DIV/0!</v>
      </c>
    </row>
    <row r="66" spans="1:14" x14ac:dyDescent="0.2">
      <c r="A66" s="7">
        <f>'Sheet 2. County Level Data'!A64</f>
        <v>0</v>
      </c>
      <c r="B66" s="29" t="e">
        <f>('Formula Calculations (LOCKED)'!C66*'Sheet 2. County Level Data'!$P$4)</f>
        <v>#DIV/0!</v>
      </c>
      <c r="C66" s="29" t="e">
        <f>'Formula Calculations (LOCKED)'!H66/'Formula Calculations (LOCKED)'!$H$2*'Sheet 2. County Level Data'!$P$4</f>
        <v>#DIV/0!</v>
      </c>
      <c r="D66" s="29" t="e">
        <f>('Formula Calculations (LOCKED)'!L66/'Formula Calculations (LOCKED)'!$L$2)*'Sheet 2. County Level Data'!$P$4</f>
        <v>#DIV/0!</v>
      </c>
      <c r="E66" s="29" t="e">
        <f>('Formula Calculations (LOCKED)'!O66/'Formula Calculations (LOCKED)'!$O$2)*'Sheet 2. County Level Data'!$P$4</f>
        <v>#DIV/0!</v>
      </c>
      <c r="F66" s="29" t="e">
        <f>('Formula Calculations (LOCKED)'!D66/'Formula Calculations (LOCKED)'!$D$2)*'Sheet 2. County Level Data'!$P$4</f>
        <v>#DIV/0!</v>
      </c>
      <c r="G66" s="29" t="e">
        <f>'Sheet 2. County Level Data'!$T$11+(0.5*10000000)*'Formula Calculations (LOCKED)'!H66/'Formula Calculations (LOCKED)'!$H$2</f>
        <v>#DIV/0!</v>
      </c>
      <c r="H66" s="29" t="e">
        <f>(0.5*10000000)*'Formula Calculations (LOCKED)'!H66/'Formula Calculations (LOCKED)'!$H$2+(0.5*10000000)*'Formula Calculations (LOCKED)'!D66/'Formula Calculations (LOCKED)'!$D$2</f>
        <v>#DIV/0!</v>
      </c>
      <c r="I66" s="7" t="e">
        <f>'Sheet 2. County Level Data'!$T$12+(0.3333333333*10000000*('Formula Calculations (LOCKED)'!H66/'Formula Calculations (LOCKED)'!$H$2))+(0.3333333333*10000000*('Formula Calculations (LOCKED)'!D66/'Formula Calculations (LOCKED)'!$D$2))</f>
        <v>#DIV/0!</v>
      </c>
      <c r="J66" s="29" t="e">
        <f>'Sheet 2. County Level Data'!$T$13+(0.25*10000000*('Formula Calculations (LOCKED)'!H66/'Formula Calculations (LOCKED)'!$H$2))+(0.25*10000000*('Formula Calculations (LOCKED)'!D66/'Formula Calculations (LOCKED)'!$D$2))+(0.25*10000000*('Formula Calculations (LOCKED)'!L66/'Formula Calculations (LOCKED)'!$L$2))</f>
        <v>#DIV/0!</v>
      </c>
      <c r="K66" s="29" t="e">
        <f>'Sheet 2. County Level Data'!$T$13+(0.25*10000000*('Formula Calculations (LOCKED)'!H66/'Formula Calculations (LOCKED)'!$H$2))+(0.25*10000000*('Formula Calculations (LOCKED)'!D66/'Formula Calculations (LOCKED)'!$D$2))+(0.25*10000000*('Formula Calculations (LOCKED)'!O66/'Formula Calculations (LOCKED)'!$O$2))</f>
        <v>#DIV/0!</v>
      </c>
      <c r="L66" s="29" t="e">
        <f>IF('Formula Calculations (LOCKED)'!$G66=1,('Sheet 2. County Level Data'!$P$12*('Formula Calculations (LOCKED)'!K66/'Formula Calculations (LOCKED)'!$K$2)),((10000000-'Sheet 2. County Level Data'!$P$12)*'Formula Calculations (LOCKED)'!J66/'Formula Calculations (LOCKED)'!$J$2))</f>
        <v>#DIV/0!</v>
      </c>
      <c r="M66" s="29" t="e">
        <f>IF('Formula Calculations (LOCKED)'!$G66=1,((0.5*'Sheet 2. County Level Data'!$P$12)*('Formula Calculations (LOCKED)'!K66/'Formula Calculations (LOCKED)'!$K$2))+((0.5*'Sheet 2. County Level Data'!$P$12)*('Formula Calculations (LOCKED)'!N66/'Formula Calculations (LOCKED)'!$N$2)),((0.5*(10000000-'Sheet 2. County Level Data'!$P$12))*('Formula Calculations (LOCKED)'!J66/'Formula Calculations (LOCKED)'!$J$2))+((0.5*(10000000-'Sheet 2. County Level Data'!$P$12))*('Formula Calculations (LOCKED)'!M66/'Formula Calculations (LOCKED)'!$M$2)))</f>
        <v>#DIV/0!</v>
      </c>
      <c r="N66" s="29" t="e">
        <f>IF('Formula Calculations (LOCKED)'!$G66=1,((0.5*'Sheet 2. County Level Data'!$P$12)*('Formula Calculations (LOCKED)'!K66/'Formula Calculations (LOCKED)'!$K$2))+((0.5*'Sheet 2. County Level Data'!$P$12)*('Formula Calculations (LOCKED)'!R66/'Formula Calculations (LOCKED)'!$R$2)),((0.5*(10000000-'Sheet 2. County Level Data'!$P$12))*('Formula Calculations (LOCKED)'!J66/'Formula Calculations (LOCKED)'!$J$2))+((0.5*(10000000-'Sheet 2. County Level Data'!$P$12))*('Formula Calculations (LOCKED)'!Q66/'Formula Calculations (LOCKED)'!$Q$2)))</f>
        <v>#DIV/0!</v>
      </c>
    </row>
    <row r="67" spans="1:14" x14ac:dyDescent="0.2">
      <c r="A67" s="7">
        <f>'Sheet 2. County Level Data'!A65</f>
        <v>0</v>
      </c>
      <c r="B67" s="29" t="e">
        <f>('Formula Calculations (LOCKED)'!C67*'Sheet 2. County Level Data'!$P$4)</f>
        <v>#DIV/0!</v>
      </c>
      <c r="C67" s="29" t="e">
        <f>'Formula Calculations (LOCKED)'!H67/'Formula Calculations (LOCKED)'!$H$2*'Sheet 2. County Level Data'!$P$4</f>
        <v>#DIV/0!</v>
      </c>
      <c r="D67" s="29" t="e">
        <f>('Formula Calculations (LOCKED)'!L67/'Formula Calculations (LOCKED)'!$L$2)*'Sheet 2. County Level Data'!$P$4</f>
        <v>#DIV/0!</v>
      </c>
      <c r="E67" s="29" t="e">
        <f>('Formula Calculations (LOCKED)'!O67/'Formula Calculations (LOCKED)'!$O$2)*'Sheet 2. County Level Data'!$P$4</f>
        <v>#DIV/0!</v>
      </c>
      <c r="F67" s="29" t="e">
        <f>('Formula Calculations (LOCKED)'!D67/'Formula Calculations (LOCKED)'!$D$2)*'Sheet 2. County Level Data'!$P$4</f>
        <v>#DIV/0!</v>
      </c>
      <c r="G67" s="29" t="e">
        <f>'Sheet 2. County Level Data'!$T$11+(0.5*10000000)*'Formula Calculations (LOCKED)'!H67/'Formula Calculations (LOCKED)'!$H$2</f>
        <v>#DIV/0!</v>
      </c>
      <c r="H67" s="29" t="e">
        <f>(0.5*10000000)*'Formula Calculations (LOCKED)'!H67/'Formula Calculations (LOCKED)'!$H$2+(0.5*10000000)*'Formula Calculations (LOCKED)'!D67/'Formula Calculations (LOCKED)'!$D$2</f>
        <v>#DIV/0!</v>
      </c>
      <c r="I67" s="7" t="e">
        <f>'Sheet 2. County Level Data'!$T$12+(0.3333333333*10000000*('Formula Calculations (LOCKED)'!H67/'Formula Calculations (LOCKED)'!$H$2))+(0.3333333333*10000000*('Formula Calculations (LOCKED)'!D67/'Formula Calculations (LOCKED)'!$D$2))</f>
        <v>#DIV/0!</v>
      </c>
      <c r="J67" s="29" t="e">
        <f>'Sheet 2. County Level Data'!$T$13+(0.25*10000000*('Formula Calculations (LOCKED)'!H67/'Formula Calculations (LOCKED)'!$H$2))+(0.25*10000000*('Formula Calculations (LOCKED)'!D67/'Formula Calculations (LOCKED)'!$D$2))+(0.25*10000000*('Formula Calculations (LOCKED)'!L67/'Formula Calculations (LOCKED)'!$L$2))</f>
        <v>#DIV/0!</v>
      </c>
      <c r="K67" s="29" t="e">
        <f>'Sheet 2. County Level Data'!$T$13+(0.25*10000000*('Formula Calculations (LOCKED)'!H67/'Formula Calculations (LOCKED)'!$H$2))+(0.25*10000000*('Formula Calculations (LOCKED)'!D67/'Formula Calculations (LOCKED)'!$D$2))+(0.25*10000000*('Formula Calculations (LOCKED)'!O67/'Formula Calculations (LOCKED)'!$O$2))</f>
        <v>#DIV/0!</v>
      </c>
      <c r="L67" s="29" t="e">
        <f>IF('Formula Calculations (LOCKED)'!$G67=1,('Sheet 2. County Level Data'!$P$12*('Formula Calculations (LOCKED)'!K67/'Formula Calculations (LOCKED)'!$K$2)),((10000000-'Sheet 2. County Level Data'!$P$12)*'Formula Calculations (LOCKED)'!J67/'Formula Calculations (LOCKED)'!$J$2))</f>
        <v>#DIV/0!</v>
      </c>
      <c r="M67" s="29" t="e">
        <f>IF('Formula Calculations (LOCKED)'!$G67=1,((0.5*'Sheet 2. County Level Data'!$P$12)*('Formula Calculations (LOCKED)'!K67/'Formula Calculations (LOCKED)'!$K$2))+((0.5*'Sheet 2. County Level Data'!$P$12)*('Formula Calculations (LOCKED)'!N67/'Formula Calculations (LOCKED)'!$N$2)),((0.5*(10000000-'Sheet 2. County Level Data'!$P$12))*('Formula Calculations (LOCKED)'!J67/'Formula Calculations (LOCKED)'!$J$2))+((0.5*(10000000-'Sheet 2. County Level Data'!$P$12))*('Formula Calculations (LOCKED)'!M67/'Formula Calculations (LOCKED)'!$M$2)))</f>
        <v>#DIV/0!</v>
      </c>
      <c r="N67" s="29" t="e">
        <f>IF('Formula Calculations (LOCKED)'!$G67=1,((0.5*'Sheet 2. County Level Data'!$P$12)*('Formula Calculations (LOCKED)'!K67/'Formula Calculations (LOCKED)'!$K$2))+((0.5*'Sheet 2. County Level Data'!$P$12)*('Formula Calculations (LOCKED)'!R67/'Formula Calculations (LOCKED)'!$R$2)),((0.5*(10000000-'Sheet 2. County Level Data'!$P$12))*('Formula Calculations (LOCKED)'!J67/'Formula Calculations (LOCKED)'!$J$2))+((0.5*(10000000-'Sheet 2. County Level Data'!$P$12))*('Formula Calculations (LOCKED)'!Q67/'Formula Calculations (LOCKED)'!$Q$2)))</f>
        <v>#DIV/0!</v>
      </c>
    </row>
    <row r="68" spans="1:14" x14ac:dyDescent="0.2">
      <c r="A68" s="7">
        <f>'Sheet 2. County Level Data'!A66</f>
        <v>0</v>
      </c>
      <c r="B68" s="29" t="e">
        <f>('Formula Calculations (LOCKED)'!C68*'Sheet 2. County Level Data'!$P$4)</f>
        <v>#DIV/0!</v>
      </c>
      <c r="C68" s="29" t="e">
        <f>'Formula Calculations (LOCKED)'!H68/'Formula Calculations (LOCKED)'!$H$2*'Sheet 2. County Level Data'!$P$4</f>
        <v>#DIV/0!</v>
      </c>
      <c r="D68" s="29" t="e">
        <f>('Formula Calculations (LOCKED)'!L68/'Formula Calculations (LOCKED)'!$L$2)*'Sheet 2. County Level Data'!$P$4</f>
        <v>#DIV/0!</v>
      </c>
      <c r="E68" s="29" t="e">
        <f>('Formula Calculations (LOCKED)'!O68/'Formula Calculations (LOCKED)'!$O$2)*'Sheet 2. County Level Data'!$P$4</f>
        <v>#DIV/0!</v>
      </c>
      <c r="F68" s="29" t="e">
        <f>('Formula Calculations (LOCKED)'!D68/'Formula Calculations (LOCKED)'!$D$2)*'Sheet 2. County Level Data'!$P$4</f>
        <v>#DIV/0!</v>
      </c>
      <c r="G68" s="29" t="e">
        <f>'Sheet 2. County Level Data'!$T$11+(0.5*10000000)*'Formula Calculations (LOCKED)'!H68/'Formula Calculations (LOCKED)'!$H$2</f>
        <v>#DIV/0!</v>
      </c>
      <c r="H68" s="29" t="e">
        <f>(0.5*10000000)*'Formula Calculations (LOCKED)'!H68/'Formula Calculations (LOCKED)'!$H$2+(0.5*10000000)*'Formula Calculations (LOCKED)'!D68/'Formula Calculations (LOCKED)'!$D$2</f>
        <v>#DIV/0!</v>
      </c>
      <c r="I68" s="7" t="e">
        <f>'Sheet 2. County Level Data'!$T$12+(0.3333333333*10000000*('Formula Calculations (LOCKED)'!H68/'Formula Calculations (LOCKED)'!$H$2))+(0.3333333333*10000000*('Formula Calculations (LOCKED)'!D68/'Formula Calculations (LOCKED)'!$D$2))</f>
        <v>#DIV/0!</v>
      </c>
      <c r="J68" s="29" t="e">
        <f>'Sheet 2. County Level Data'!$T$13+(0.25*10000000*('Formula Calculations (LOCKED)'!H68/'Formula Calculations (LOCKED)'!$H$2))+(0.25*10000000*('Formula Calculations (LOCKED)'!D68/'Formula Calculations (LOCKED)'!$D$2))+(0.25*10000000*('Formula Calculations (LOCKED)'!L68/'Formula Calculations (LOCKED)'!$L$2))</f>
        <v>#DIV/0!</v>
      </c>
      <c r="K68" s="29" t="e">
        <f>'Sheet 2. County Level Data'!$T$13+(0.25*10000000*('Formula Calculations (LOCKED)'!H68/'Formula Calculations (LOCKED)'!$H$2))+(0.25*10000000*('Formula Calculations (LOCKED)'!D68/'Formula Calculations (LOCKED)'!$D$2))+(0.25*10000000*('Formula Calculations (LOCKED)'!O68/'Formula Calculations (LOCKED)'!$O$2))</f>
        <v>#DIV/0!</v>
      </c>
      <c r="L68" s="29" t="e">
        <f>IF('Formula Calculations (LOCKED)'!$G68=1,('Sheet 2. County Level Data'!$P$12*('Formula Calculations (LOCKED)'!K68/'Formula Calculations (LOCKED)'!$K$2)),((10000000-'Sheet 2. County Level Data'!$P$12)*'Formula Calculations (LOCKED)'!J68/'Formula Calculations (LOCKED)'!$J$2))</f>
        <v>#DIV/0!</v>
      </c>
      <c r="M68" s="29" t="e">
        <f>IF('Formula Calculations (LOCKED)'!$G68=1,((0.5*'Sheet 2. County Level Data'!$P$12)*('Formula Calculations (LOCKED)'!K68/'Formula Calculations (LOCKED)'!$K$2))+((0.5*'Sheet 2. County Level Data'!$P$12)*('Formula Calculations (LOCKED)'!N68/'Formula Calculations (LOCKED)'!$N$2)),((0.5*(10000000-'Sheet 2. County Level Data'!$P$12))*('Formula Calculations (LOCKED)'!J68/'Formula Calculations (LOCKED)'!$J$2))+((0.5*(10000000-'Sheet 2. County Level Data'!$P$12))*('Formula Calculations (LOCKED)'!M68/'Formula Calculations (LOCKED)'!$M$2)))</f>
        <v>#DIV/0!</v>
      </c>
      <c r="N68" s="29" t="e">
        <f>IF('Formula Calculations (LOCKED)'!$G68=1,((0.5*'Sheet 2. County Level Data'!$P$12)*('Formula Calculations (LOCKED)'!K68/'Formula Calculations (LOCKED)'!$K$2))+((0.5*'Sheet 2. County Level Data'!$P$12)*('Formula Calculations (LOCKED)'!R68/'Formula Calculations (LOCKED)'!$R$2)),((0.5*(10000000-'Sheet 2. County Level Data'!$P$12))*('Formula Calculations (LOCKED)'!J68/'Formula Calculations (LOCKED)'!$J$2))+((0.5*(10000000-'Sheet 2. County Level Data'!$P$12))*('Formula Calculations (LOCKED)'!Q68/'Formula Calculations (LOCKED)'!$Q$2)))</f>
        <v>#DIV/0!</v>
      </c>
    </row>
    <row r="69" spans="1:14" x14ac:dyDescent="0.2">
      <c r="A69" s="7">
        <f>'Sheet 2. County Level Data'!A67</f>
        <v>0</v>
      </c>
      <c r="B69" s="29" t="e">
        <f>('Formula Calculations (LOCKED)'!C69*'Sheet 2. County Level Data'!$P$4)</f>
        <v>#DIV/0!</v>
      </c>
      <c r="C69" s="29" t="e">
        <f>'Formula Calculations (LOCKED)'!H69/'Formula Calculations (LOCKED)'!$H$2*'Sheet 2. County Level Data'!$P$4</f>
        <v>#DIV/0!</v>
      </c>
      <c r="D69" s="29" t="e">
        <f>('Formula Calculations (LOCKED)'!L69/'Formula Calculations (LOCKED)'!$L$2)*'Sheet 2. County Level Data'!$P$4</f>
        <v>#DIV/0!</v>
      </c>
      <c r="E69" s="29" t="e">
        <f>('Formula Calculations (LOCKED)'!O69/'Formula Calculations (LOCKED)'!$O$2)*'Sheet 2. County Level Data'!$P$4</f>
        <v>#DIV/0!</v>
      </c>
      <c r="F69" s="29" t="e">
        <f>('Formula Calculations (LOCKED)'!D69/'Formula Calculations (LOCKED)'!$D$2)*'Sheet 2. County Level Data'!$P$4</f>
        <v>#DIV/0!</v>
      </c>
      <c r="G69" s="29" t="e">
        <f>'Sheet 2. County Level Data'!$T$11+(0.5*10000000)*'Formula Calculations (LOCKED)'!H69/'Formula Calculations (LOCKED)'!$H$2</f>
        <v>#DIV/0!</v>
      </c>
      <c r="H69" s="29" t="e">
        <f>(0.5*10000000)*'Formula Calculations (LOCKED)'!H69/'Formula Calculations (LOCKED)'!$H$2+(0.5*10000000)*'Formula Calculations (LOCKED)'!D69/'Formula Calculations (LOCKED)'!$D$2</f>
        <v>#DIV/0!</v>
      </c>
      <c r="I69" s="7" t="e">
        <f>'Sheet 2. County Level Data'!$T$12+(0.3333333333*10000000*('Formula Calculations (LOCKED)'!H69/'Formula Calculations (LOCKED)'!$H$2))+(0.3333333333*10000000*('Formula Calculations (LOCKED)'!D69/'Formula Calculations (LOCKED)'!$D$2))</f>
        <v>#DIV/0!</v>
      </c>
      <c r="J69" s="29" t="e">
        <f>'Sheet 2. County Level Data'!$T$13+(0.25*10000000*('Formula Calculations (LOCKED)'!H69/'Formula Calculations (LOCKED)'!$H$2))+(0.25*10000000*('Formula Calculations (LOCKED)'!D69/'Formula Calculations (LOCKED)'!$D$2))+(0.25*10000000*('Formula Calculations (LOCKED)'!L69/'Formula Calculations (LOCKED)'!$L$2))</f>
        <v>#DIV/0!</v>
      </c>
      <c r="K69" s="29" t="e">
        <f>'Sheet 2. County Level Data'!$T$13+(0.25*10000000*('Formula Calculations (LOCKED)'!H69/'Formula Calculations (LOCKED)'!$H$2))+(0.25*10000000*('Formula Calculations (LOCKED)'!D69/'Formula Calculations (LOCKED)'!$D$2))+(0.25*10000000*('Formula Calculations (LOCKED)'!O69/'Formula Calculations (LOCKED)'!$O$2))</f>
        <v>#DIV/0!</v>
      </c>
      <c r="L69" s="29" t="e">
        <f>IF('Formula Calculations (LOCKED)'!$G69=1,('Sheet 2. County Level Data'!$P$12*('Formula Calculations (LOCKED)'!K69/'Formula Calculations (LOCKED)'!$K$2)),((10000000-'Sheet 2. County Level Data'!$P$12)*'Formula Calculations (LOCKED)'!J69/'Formula Calculations (LOCKED)'!$J$2))</f>
        <v>#DIV/0!</v>
      </c>
      <c r="M69" s="29" t="e">
        <f>IF('Formula Calculations (LOCKED)'!$G69=1,((0.5*'Sheet 2. County Level Data'!$P$12)*('Formula Calculations (LOCKED)'!K69/'Formula Calculations (LOCKED)'!$K$2))+((0.5*'Sheet 2. County Level Data'!$P$12)*('Formula Calculations (LOCKED)'!N69/'Formula Calculations (LOCKED)'!$N$2)),((0.5*(10000000-'Sheet 2. County Level Data'!$P$12))*('Formula Calculations (LOCKED)'!J69/'Formula Calculations (LOCKED)'!$J$2))+((0.5*(10000000-'Sheet 2. County Level Data'!$P$12))*('Formula Calculations (LOCKED)'!M69/'Formula Calculations (LOCKED)'!$M$2)))</f>
        <v>#DIV/0!</v>
      </c>
      <c r="N69" s="29" t="e">
        <f>IF('Formula Calculations (LOCKED)'!$G69=1,((0.5*'Sheet 2. County Level Data'!$P$12)*('Formula Calculations (LOCKED)'!K69/'Formula Calculations (LOCKED)'!$K$2))+((0.5*'Sheet 2. County Level Data'!$P$12)*('Formula Calculations (LOCKED)'!R69/'Formula Calculations (LOCKED)'!$R$2)),((0.5*(10000000-'Sheet 2. County Level Data'!$P$12))*('Formula Calculations (LOCKED)'!J69/'Formula Calculations (LOCKED)'!$J$2))+((0.5*(10000000-'Sheet 2. County Level Data'!$P$12))*('Formula Calculations (LOCKED)'!Q69/'Formula Calculations (LOCKED)'!$Q$2)))</f>
        <v>#DIV/0!</v>
      </c>
    </row>
    <row r="70" spans="1:14" x14ac:dyDescent="0.2">
      <c r="A70" s="7">
        <f>'Sheet 2. County Level Data'!A68</f>
        <v>0</v>
      </c>
      <c r="B70" s="29" t="e">
        <f>('Formula Calculations (LOCKED)'!C70*'Sheet 2. County Level Data'!$P$4)</f>
        <v>#DIV/0!</v>
      </c>
      <c r="C70" s="29" t="e">
        <f>'Formula Calculations (LOCKED)'!H70/'Formula Calculations (LOCKED)'!$H$2*'Sheet 2. County Level Data'!$P$4</f>
        <v>#DIV/0!</v>
      </c>
      <c r="D70" s="29" t="e">
        <f>('Formula Calculations (LOCKED)'!L70/'Formula Calculations (LOCKED)'!$L$2)*'Sheet 2. County Level Data'!$P$4</f>
        <v>#DIV/0!</v>
      </c>
      <c r="E70" s="29" t="e">
        <f>('Formula Calculations (LOCKED)'!O70/'Formula Calculations (LOCKED)'!$O$2)*'Sheet 2. County Level Data'!$P$4</f>
        <v>#DIV/0!</v>
      </c>
      <c r="F70" s="29" t="e">
        <f>('Formula Calculations (LOCKED)'!D70/'Formula Calculations (LOCKED)'!$D$2)*'Sheet 2. County Level Data'!$P$4</f>
        <v>#DIV/0!</v>
      </c>
      <c r="G70" s="29" t="e">
        <f>'Sheet 2. County Level Data'!$T$11+(0.5*10000000)*'Formula Calculations (LOCKED)'!H70/'Formula Calculations (LOCKED)'!$H$2</f>
        <v>#DIV/0!</v>
      </c>
      <c r="H70" s="29" t="e">
        <f>(0.5*10000000)*'Formula Calculations (LOCKED)'!H70/'Formula Calculations (LOCKED)'!$H$2+(0.5*10000000)*'Formula Calculations (LOCKED)'!D70/'Formula Calculations (LOCKED)'!$D$2</f>
        <v>#DIV/0!</v>
      </c>
      <c r="I70" s="7" t="e">
        <f>'Sheet 2. County Level Data'!$T$12+(0.3333333333*10000000*('Formula Calculations (LOCKED)'!H70/'Formula Calculations (LOCKED)'!$H$2))+(0.3333333333*10000000*('Formula Calculations (LOCKED)'!D70/'Formula Calculations (LOCKED)'!$D$2))</f>
        <v>#DIV/0!</v>
      </c>
      <c r="J70" s="29" t="e">
        <f>'Sheet 2. County Level Data'!$T$13+(0.25*10000000*('Formula Calculations (LOCKED)'!H70/'Formula Calculations (LOCKED)'!$H$2))+(0.25*10000000*('Formula Calculations (LOCKED)'!D70/'Formula Calculations (LOCKED)'!$D$2))+(0.25*10000000*('Formula Calculations (LOCKED)'!L70/'Formula Calculations (LOCKED)'!$L$2))</f>
        <v>#DIV/0!</v>
      </c>
      <c r="K70" s="29" t="e">
        <f>'Sheet 2. County Level Data'!$T$13+(0.25*10000000*('Formula Calculations (LOCKED)'!H70/'Formula Calculations (LOCKED)'!$H$2))+(0.25*10000000*('Formula Calculations (LOCKED)'!D70/'Formula Calculations (LOCKED)'!$D$2))+(0.25*10000000*('Formula Calculations (LOCKED)'!O70/'Formula Calculations (LOCKED)'!$O$2))</f>
        <v>#DIV/0!</v>
      </c>
      <c r="L70" s="29" t="e">
        <f>IF('Formula Calculations (LOCKED)'!$G70=1,('Sheet 2. County Level Data'!$P$12*('Formula Calculations (LOCKED)'!K70/'Formula Calculations (LOCKED)'!$K$2)),((10000000-'Sheet 2. County Level Data'!$P$12)*'Formula Calculations (LOCKED)'!J70/'Formula Calculations (LOCKED)'!$J$2))</f>
        <v>#DIV/0!</v>
      </c>
      <c r="M70" s="29" t="e">
        <f>IF('Formula Calculations (LOCKED)'!$G70=1,((0.5*'Sheet 2. County Level Data'!$P$12)*('Formula Calculations (LOCKED)'!K70/'Formula Calculations (LOCKED)'!$K$2))+((0.5*'Sheet 2. County Level Data'!$P$12)*('Formula Calculations (LOCKED)'!N70/'Formula Calculations (LOCKED)'!$N$2)),((0.5*(10000000-'Sheet 2. County Level Data'!$P$12))*('Formula Calculations (LOCKED)'!J70/'Formula Calculations (LOCKED)'!$J$2))+((0.5*(10000000-'Sheet 2. County Level Data'!$P$12))*('Formula Calculations (LOCKED)'!M70/'Formula Calculations (LOCKED)'!$M$2)))</f>
        <v>#DIV/0!</v>
      </c>
      <c r="N70" s="29" t="e">
        <f>IF('Formula Calculations (LOCKED)'!$G70=1,((0.5*'Sheet 2. County Level Data'!$P$12)*('Formula Calculations (LOCKED)'!K70/'Formula Calculations (LOCKED)'!$K$2))+((0.5*'Sheet 2. County Level Data'!$P$12)*('Formula Calculations (LOCKED)'!R70/'Formula Calculations (LOCKED)'!$R$2)),((0.5*(10000000-'Sheet 2. County Level Data'!$P$12))*('Formula Calculations (LOCKED)'!J70/'Formula Calculations (LOCKED)'!$J$2))+((0.5*(10000000-'Sheet 2. County Level Data'!$P$12))*('Formula Calculations (LOCKED)'!Q70/'Formula Calculations (LOCKED)'!$Q$2)))</f>
        <v>#DIV/0!</v>
      </c>
    </row>
    <row r="71" spans="1:14" x14ac:dyDescent="0.2">
      <c r="A71" s="7">
        <f>'Sheet 2. County Level Data'!A69</f>
        <v>0</v>
      </c>
      <c r="B71" s="29" t="e">
        <f>('Formula Calculations (LOCKED)'!C71*'Sheet 2. County Level Data'!$P$4)</f>
        <v>#DIV/0!</v>
      </c>
      <c r="C71" s="29" t="e">
        <f>'Formula Calculations (LOCKED)'!H71/'Formula Calculations (LOCKED)'!$H$2*'Sheet 2. County Level Data'!$P$4</f>
        <v>#DIV/0!</v>
      </c>
      <c r="D71" s="29" t="e">
        <f>('Formula Calculations (LOCKED)'!L71/'Formula Calculations (LOCKED)'!$L$2)*'Sheet 2. County Level Data'!$P$4</f>
        <v>#DIV/0!</v>
      </c>
      <c r="E71" s="29" t="e">
        <f>('Formula Calculations (LOCKED)'!O71/'Formula Calculations (LOCKED)'!$O$2)*'Sheet 2. County Level Data'!$P$4</f>
        <v>#DIV/0!</v>
      </c>
      <c r="F71" s="29" t="e">
        <f>('Formula Calculations (LOCKED)'!D71/'Formula Calculations (LOCKED)'!$D$2)*'Sheet 2. County Level Data'!$P$4</f>
        <v>#DIV/0!</v>
      </c>
      <c r="G71" s="29" t="e">
        <f>'Sheet 2. County Level Data'!$T$11+(0.5*10000000)*'Formula Calculations (LOCKED)'!H71/'Formula Calculations (LOCKED)'!$H$2</f>
        <v>#DIV/0!</v>
      </c>
      <c r="H71" s="29" t="e">
        <f>(0.5*10000000)*'Formula Calculations (LOCKED)'!H71/'Formula Calculations (LOCKED)'!$H$2+(0.5*10000000)*'Formula Calculations (LOCKED)'!D71/'Formula Calculations (LOCKED)'!$D$2</f>
        <v>#DIV/0!</v>
      </c>
      <c r="I71" s="7" t="e">
        <f>'Sheet 2. County Level Data'!$T$12+(0.3333333333*10000000*('Formula Calculations (LOCKED)'!H71/'Formula Calculations (LOCKED)'!$H$2))+(0.3333333333*10000000*('Formula Calculations (LOCKED)'!D71/'Formula Calculations (LOCKED)'!$D$2))</f>
        <v>#DIV/0!</v>
      </c>
      <c r="J71" s="29" t="e">
        <f>'Sheet 2. County Level Data'!$T$13+(0.25*10000000*('Formula Calculations (LOCKED)'!H71/'Formula Calculations (LOCKED)'!$H$2))+(0.25*10000000*('Formula Calculations (LOCKED)'!D71/'Formula Calculations (LOCKED)'!$D$2))+(0.25*10000000*('Formula Calculations (LOCKED)'!L71/'Formula Calculations (LOCKED)'!$L$2))</f>
        <v>#DIV/0!</v>
      </c>
      <c r="K71" s="29" t="e">
        <f>'Sheet 2. County Level Data'!$T$13+(0.25*10000000*('Formula Calculations (LOCKED)'!H71/'Formula Calculations (LOCKED)'!$H$2))+(0.25*10000000*('Formula Calculations (LOCKED)'!D71/'Formula Calculations (LOCKED)'!$D$2))+(0.25*10000000*('Formula Calculations (LOCKED)'!O71/'Formula Calculations (LOCKED)'!$O$2))</f>
        <v>#DIV/0!</v>
      </c>
      <c r="L71" s="29" t="e">
        <f>IF('Formula Calculations (LOCKED)'!$G71=1,('Sheet 2. County Level Data'!$P$12*('Formula Calculations (LOCKED)'!K71/'Formula Calculations (LOCKED)'!$K$2)),((10000000-'Sheet 2. County Level Data'!$P$12)*'Formula Calculations (LOCKED)'!J71/'Formula Calculations (LOCKED)'!$J$2))</f>
        <v>#DIV/0!</v>
      </c>
      <c r="M71" s="29" t="e">
        <f>IF('Formula Calculations (LOCKED)'!$G71=1,((0.5*'Sheet 2. County Level Data'!$P$12)*('Formula Calculations (LOCKED)'!K71/'Formula Calculations (LOCKED)'!$K$2))+((0.5*'Sheet 2. County Level Data'!$P$12)*('Formula Calculations (LOCKED)'!N71/'Formula Calculations (LOCKED)'!$N$2)),((0.5*(10000000-'Sheet 2. County Level Data'!$P$12))*('Formula Calculations (LOCKED)'!J71/'Formula Calculations (LOCKED)'!$J$2))+((0.5*(10000000-'Sheet 2. County Level Data'!$P$12))*('Formula Calculations (LOCKED)'!M71/'Formula Calculations (LOCKED)'!$M$2)))</f>
        <v>#DIV/0!</v>
      </c>
      <c r="N71" s="29" t="e">
        <f>IF('Formula Calculations (LOCKED)'!$G71=1,((0.5*'Sheet 2. County Level Data'!$P$12)*('Formula Calculations (LOCKED)'!K71/'Formula Calculations (LOCKED)'!$K$2))+((0.5*'Sheet 2. County Level Data'!$P$12)*('Formula Calculations (LOCKED)'!R71/'Formula Calculations (LOCKED)'!$R$2)),((0.5*(10000000-'Sheet 2. County Level Data'!$P$12))*('Formula Calculations (LOCKED)'!J71/'Formula Calculations (LOCKED)'!$J$2))+((0.5*(10000000-'Sheet 2. County Level Data'!$P$12))*('Formula Calculations (LOCKED)'!Q71/'Formula Calculations (LOCKED)'!$Q$2)))</f>
        <v>#DIV/0!</v>
      </c>
    </row>
    <row r="72" spans="1:14" x14ac:dyDescent="0.2">
      <c r="A72" s="7">
        <f>'Sheet 2. County Level Data'!A70</f>
        <v>0</v>
      </c>
      <c r="B72" s="29" t="e">
        <f>('Formula Calculations (LOCKED)'!C72*'Sheet 2. County Level Data'!$P$4)</f>
        <v>#DIV/0!</v>
      </c>
      <c r="C72" s="29" t="e">
        <f>'Formula Calculations (LOCKED)'!H72/'Formula Calculations (LOCKED)'!$H$2*'Sheet 2. County Level Data'!$P$4</f>
        <v>#DIV/0!</v>
      </c>
      <c r="D72" s="29" t="e">
        <f>('Formula Calculations (LOCKED)'!L72/'Formula Calculations (LOCKED)'!$L$2)*'Sheet 2. County Level Data'!$P$4</f>
        <v>#DIV/0!</v>
      </c>
      <c r="E72" s="29" t="e">
        <f>('Formula Calculations (LOCKED)'!O72/'Formula Calculations (LOCKED)'!$O$2)*'Sheet 2. County Level Data'!$P$4</f>
        <v>#DIV/0!</v>
      </c>
      <c r="F72" s="29" t="e">
        <f>('Formula Calculations (LOCKED)'!D72/'Formula Calculations (LOCKED)'!$D$2)*'Sheet 2. County Level Data'!$P$4</f>
        <v>#DIV/0!</v>
      </c>
      <c r="G72" s="29" t="e">
        <f>'Sheet 2. County Level Data'!$T$11+(0.5*10000000)*'Formula Calculations (LOCKED)'!H72/'Formula Calculations (LOCKED)'!$H$2</f>
        <v>#DIV/0!</v>
      </c>
      <c r="H72" s="29" t="e">
        <f>(0.5*10000000)*'Formula Calculations (LOCKED)'!H72/'Formula Calculations (LOCKED)'!$H$2+(0.5*10000000)*'Formula Calculations (LOCKED)'!D72/'Formula Calculations (LOCKED)'!$D$2</f>
        <v>#DIV/0!</v>
      </c>
      <c r="I72" s="7" t="e">
        <f>'Sheet 2. County Level Data'!$T$12+(0.3333333333*10000000*('Formula Calculations (LOCKED)'!H72/'Formula Calculations (LOCKED)'!$H$2))+(0.3333333333*10000000*('Formula Calculations (LOCKED)'!D72/'Formula Calculations (LOCKED)'!$D$2))</f>
        <v>#DIV/0!</v>
      </c>
      <c r="J72" s="29" t="e">
        <f>'Sheet 2. County Level Data'!$T$13+(0.25*10000000*('Formula Calculations (LOCKED)'!H72/'Formula Calculations (LOCKED)'!$H$2))+(0.25*10000000*('Formula Calculations (LOCKED)'!D72/'Formula Calculations (LOCKED)'!$D$2))+(0.25*10000000*('Formula Calculations (LOCKED)'!L72/'Formula Calculations (LOCKED)'!$L$2))</f>
        <v>#DIV/0!</v>
      </c>
      <c r="K72" s="29" t="e">
        <f>'Sheet 2. County Level Data'!$T$13+(0.25*10000000*('Formula Calculations (LOCKED)'!H72/'Formula Calculations (LOCKED)'!$H$2))+(0.25*10000000*('Formula Calculations (LOCKED)'!D72/'Formula Calculations (LOCKED)'!$D$2))+(0.25*10000000*('Formula Calculations (LOCKED)'!O72/'Formula Calculations (LOCKED)'!$O$2))</f>
        <v>#DIV/0!</v>
      </c>
      <c r="L72" s="29" t="e">
        <f>IF('Formula Calculations (LOCKED)'!$G72=1,('Sheet 2. County Level Data'!$P$12*('Formula Calculations (LOCKED)'!K72/'Formula Calculations (LOCKED)'!$K$2)),((10000000-'Sheet 2. County Level Data'!$P$12)*'Formula Calculations (LOCKED)'!J72/'Formula Calculations (LOCKED)'!$J$2))</f>
        <v>#DIV/0!</v>
      </c>
      <c r="M72" s="29" t="e">
        <f>IF('Formula Calculations (LOCKED)'!$G72=1,((0.5*'Sheet 2. County Level Data'!$P$12)*('Formula Calculations (LOCKED)'!K72/'Formula Calculations (LOCKED)'!$K$2))+((0.5*'Sheet 2. County Level Data'!$P$12)*('Formula Calculations (LOCKED)'!N72/'Formula Calculations (LOCKED)'!$N$2)),((0.5*(10000000-'Sheet 2. County Level Data'!$P$12))*('Formula Calculations (LOCKED)'!J72/'Formula Calculations (LOCKED)'!$J$2))+((0.5*(10000000-'Sheet 2. County Level Data'!$P$12))*('Formula Calculations (LOCKED)'!M72/'Formula Calculations (LOCKED)'!$M$2)))</f>
        <v>#DIV/0!</v>
      </c>
      <c r="N72" s="29" t="e">
        <f>IF('Formula Calculations (LOCKED)'!$G72=1,((0.5*'Sheet 2. County Level Data'!$P$12)*('Formula Calculations (LOCKED)'!K72/'Formula Calculations (LOCKED)'!$K$2))+((0.5*'Sheet 2. County Level Data'!$P$12)*('Formula Calculations (LOCKED)'!R72/'Formula Calculations (LOCKED)'!$R$2)),((0.5*(10000000-'Sheet 2. County Level Data'!$P$12))*('Formula Calculations (LOCKED)'!J72/'Formula Calculations (LOCKED)'!$J$2))+((0.5*(10000000-'Sheet 2. County Level Data'!$P$12))*('Formula Calculations (LOCKED)'!Q72/'Formula Calculations (LOCKED)'!$Q$2)))</f>
        <v>#DIV/0!</v>
      </c>
    </row>
    <row r="73" spans="1:14" x14ac:dyDescent="0.2">
      <c r="A73" s="7">
        <f>'Sheet 2. County Level Data'!A71</f>
        <v>0</v>
      </c>
      <c r="B73" s="29" t="e">
        <f>('Formula Calculations (LOCKED)'!C73*'Sheet 2. County Level Data'!$P$4)</f>
        <v>#DIV/0!</v>
      </c>
      <c r="C73" s="29" t="e">
        <f>'Formula Calculations (LOCKED)'!H73/'Formula Calculations (LOCKED)'!$H$2*'Sheet 2. County Level Data'!$P$4</f>
        <v>#DIV/0!</v>
      </c>
      <c r="D73" s="29" t="e">
        <f>('Formula Calculations (LOCKED)'!L73/'Formula Calculations (LOCKED)'!$L$2)*'Sheet 2. County Level Data'!$P$4</f>
        <v>#DIV/0!</v>
      </c>
      <c r="E73" s="29" t="e">
        <f>('Formula Calculations (LOCKED)'!O73/'Formula Calculations (LOCKED)'!$O$2)*'Sheet 2. County Level Data'!$P$4</f>
        <v>#DIV/0!</v>
      </c>
      <c r="F73" s="29" t="e">
        <f>('Formula Calculations (LOCKED)'!D73/'Formula Calculations (LOCKED)'!$D$2)*'Sheet 2. County Level Data'!$P$4</f>
        <v>#DIV/0!</v>
      </c>
      <c r="G73" s="29" t="e">
        <f>'Sheet 2. County Level Data'!$T$11+(0.5*10000000)*'Formula Calculations (LOCKED)'!H73/'Formula Calculations (LOCKED)'!$H$2</f>
        <v>#DIV/0!</v>
      </c>
      <c r="H73" s="29" t="e">
        <f>(0.5*10000000)*'Formula Calculations (LOCKED)'!H73/'Formula Calculations (LOCKED)'!$H$2+(0.5*10000000)*'Formula Calculations (LOCKED)'!D73/'Formula Calculations (LOCKED)'!$D$2</f>
        <v>#DIV/0!</v>
      </c>
      <c r="I73" s="7" t="e">
        <f>'Sheet 2. County Level Data'!$T$12+(0.3333333333*10000000*('Formula Calculations (LOCKED)'!H73/'Formula Calculations (LOCKED)'!$H$2))+(0.3333333333*10000000*('Formula Calculations (LOCKED)'!D73/'Formula Calculations (LOCKED)'!$D$2))</f>
        <v>#DIV/0!</v>
      </c>
      <c r="J73" s="29" t="e">
        <f>'Sheet 2. County Level Data'!$T$13+(0.25*10000000*('Formula Calculations (LOCKED)'!H73/'Formula Calculations (LOCKED)'!$H$2))+(0.25*10000000*('Formula Calculations (LOCKED)'!D73/'Formula Calculations (LOCKED)'!$D$2))+(0.25*10000000*('Formula Calculations (LOCKED)'!L73/'Formula Calculations (LOCKED)'!$L$2))</f>
        <v>#DIV/0!</v>
      </c>
      <c r="K73" s="29" t="e">
        <f>'Sheet 2. County Level Data'!$T$13+(0.25*10000000*('Formula Calculations (LOCKED)'!H73/'Formula Calculations (LOCKED)'!$H$2))+(0.25*10000000*('Formula Calculations (LOCKED)'!D73/'Formula Calculations (LOCKED)'!$D$2))+(0.25*10000000*('Formula Calculations (LOCKED)'!O73/'Formula Calculations (LOCKED)'!$O$2))</f>
        <v>#DIV/0!</v>
      </c>
      <c r="L73" s="29" t="e">
        <f>IF('Formula Calculations (LOCKED)'!$G73=1,('Sheet 2. County Level Data'!$P$12*('Formula Calculations (LOCKED)'!K73/'Formula Calculations (LOCKED)'!$K$2)),((10000000-'Sheet 2. County Level Data'!$P$12)*'Formula Calculations (LOCKED)'!J73/'Formula Calculations (LOCKED)'!$J$2))</f>
        <v>#DIV/0!</v>
      </c>
      <c r="M73" s="29" t="e">
        <f>IF('Formula Calculations (LOCKED)'!$G73=1,((0.5*'Sheet 2. County Level Data'!$P$12)*('Formula Calculations (LOCKED)'!K73/'Formula Calculations (LOCKED)'!$K$2))+((0.5*'Sheet 2. County Level Data'!$P$12)*('Formula Calculations (LOCKED)'!N73/'Formula Calculations (LOCKED)'!$N$2)),((0.5*(10000000-'Sheet 2. County Level Data'!$P$12))*('Formula Calculations (LOCKED)'!J73/'Formula Calculations (LOCKED)'!$J$2))+((0.5*(10000000-'Sheet 2. County Level Data'!$P$12))*('Formula Calculations (LOCKED)'!M73/'Formula Calculations (LOCKED)'!$M$2)))</f>
        <v>#DIV/0!</v>
      </c>
      <c r="N73" s="29" t="e">
        <f>IF('Formula Calculations (LOCKED)'!$G73=1,((0.5*'Sheet 2. County Level Data'!$P$12)*('Formula Calculations (LOCKED)'!K73/'Formula Calculations (LOCKED)'!$K$2))+((0.5*'Sheet 2. County Level Data'!$P$12)*('Formula Calculations (LOCKED)'!R73/'Formula Calculations (LOCKED)'!$R$2)),((0.5*(10000000-'Sheet 2. County Level Data'!$P$12))*('Formula Calculations (LOCKED)'!J73/'Formula Calculations (LOCKED)'!$J$2))+((0.5*(10000000-'Sheet 2. County Level Data'!$P$12))*('Formula Calculations (LOCKED)'!Q73/'Formula Calculations (LOCKED)'!$Q$2)))</f>
        <v>#DIV/0!</v>
      </c>
    </row>
    <row r="74" spans="1:14" x14ac:dyDescent="0.2">
      <c r="A74" s="7">
        <f>'Sheet 2. County Level Data'!A72</f>
        <v>0</v>
      </c>
      <c r="B74" s="29" t="e">
        <f>('Formula Calculations (LOCKED)'!C74*'Sheet 2. County Level Data'!$P$4)</f>
        <v>#DIV/0!</v>
      </c>
      <c r="C74" s="29" t="e">
        <f>'Formula Calculations (LOCKED)'!H74/'Formula Calculations (LOCKED)'!$H$2*'Sheet 2. County Level Data'!$P$4</f>
        <v>#DIV/0!</v>
      </c>
      <c r="D74" s="29" t="e">
        <f>('Formula Calculations (LOCKED)'!L74/'Formula Calculations (LOCKED)'!$L$2)*'Sheet 2. County Level Data'!$P$4</f>
        <v>#DIV/0!</v>
      </c>
      <c r="E74" s="29" t="e">
        <f>('Formula Calculations (LOCKED)'!O74/'Formula Calculations (LOCKED)'!$O$2)*'Sheet 2. County Level Data'!$P$4</f>
        <v>#DIV/0!</v>
      </c>
      <c r="F74" s="29" t="e">
        <f>('Formula Calculations (LOCKED)'!D74/'Formula Calculations (LOCKED)'!$D$2)*'Sheet 2. County Level Data'!$P$4</f>
        <v>#DIV/0!</v>
      </c>
      <c r="G74" s="29" t="e">
        <f>'Sheet 2. County Level Data'!$T$11+(0.5*10000000)*'Formula Calculations (LOCKED)'!H74/'Formula Calculations (LOCKED)'!$H$2</f>
        <v>#DIV/0!</v>
      </c>
      <c r="H74" s="29" t="e">
        <f>(0.5*10000000)*'Formula Calculations (LOCKED)'!H74/'Formula Calculations (LOCKED)'!$H$2+(0.5*10000000)*'Formula Calculations (LOCKED)'!D74/'Formula Calculations (LOCKED)'!$D$2</f>
        <v>#DIV/0!</v>
      </c>
      <c r="I74" s="7" t="e">
        <f>'Sheet 2. County Level Data'!$T$12+(0.3333333333*10000000*('Formula Calculations (LOCKED)'!H74/'Formula Calculations (LOCKED)'!$H$2))+(0.3333333333*10000000*('Formula Calculations (LOCKED)'!D74/'Formula Calculations (LOCKED)'!$D$2))</f>
        <v>#DIV/0!</v>
      </c>
      <c r="J74" s="29" t="e">
        <f>'Sheet 2. County Level Data'!$T$13+(0.25*10000000*('Formula Calculations (LOCKED)'!H74/'Formula Calculations (LOCKED)'!$H$2))+(0.25*10000000*('Formula Calculations (LOCKED)'!D74/'Formula Calculations (LOCKED)'!$D$2))+(0.25*10000000*('Formula Calculations (LOCKED)'!L74/'Formula Calculations (LOCKED)'!$L$2))</f>
        <v>#DIV/0!</v>
      </c>
      <c r="K74" s="29" t="e">
        <f>'Sheet 2. County Level Data'!$T$13+(0.25*10000000*('Formula Calculations (LOCKED)'!H74/'Formula Calculations (LOCKED)'!$H$2))+(0.25*10000000*('Formula Calculations (LOCKED)'!D74/'Formula Calculations (LOCKED)'!$D$2))+(0.25*10000000*('Formula Calculations (LOCKED)'!O74/'Formula Calculations (LOCKED)'!$O$2))</f>
        <v>#DIV/0!</v>
      </c>
      <c r="L74" s="29" t="e">
        <f>IF('Formula Calculations (LOCKED)'!$G74=1,('Sheet 2. County Level Data'!$P$12*('Formula Calculations (LOCKED)'!K74/'Formula Calculations (LOCKED)'!$K$2)),((10000000-'Sheet 2. County Level Data'!$P$12)*'Formula Calculations (LOCKED)'!J74/'Formula Calculations (LOCKED)'!$J$2))</f>
        <v>#DIV/0!</v>
      </c>
      <c r="M74" s="29" t="e">
        <f>IF('Formula Calculations (LOCKED)'!$G74=1,((0.5*'Sheet 2. County Level Data'!$P$12)*('Formula Calculations (LOCKED)'!K74/'Formula Calculations (LOCKED)'!$K$2))+((0.5*'Sheet 2. County Level Data'!$P$12)*('Formula Calculations (LOCKED)'!N74/'Formula Calculations (LOCKED)'!$N$2)),((0.5*(10000000-'Sheet 2. County Level Data'!$P$12))*('Formula Calculations (LOCKED)'!J74/'Formula Calculations (LOCKED)'!$J$2))+((0.5*(10000000-'Sheet 2. County Level Data'!$P$12))*('Formula Calculations (LOCKED)'!M74/'Formula Calculations (LOCKED)'!$M$2)))</f>
        <v>#DIV/0!</v>
      </c>
      <c r="N74" s="29" t="e">
        <f>IF('Formula Calculations (LOCKED)'!$G74=1,((0.5*'Sheet 2. County Level Data'!$P$12)*('Formula Calculations (LOCKED)'!K74/'Formula Calculations (LOCKED)'!$K$2))+((0.5*'Sheet 2. County Level Data'!$P$12)*('Formula Calculations (LOCKED)'!R74/'Formula Calculations (LOCKED)'!$R$2)),((0.5*(10000000-'Sheet 2. County Level Data'!$P$12))*('Formula Calculations (LOCKED)'!J74/'Formula Calculations (LOCKED)'!$J$2))+((0.5*(10000000-'Sheet 2. County Level Data'!$P$12))*('Formula Calculations (LOCKED)'!Q74/'Formula Calculations (LOCKED)'!$Q$2)))</f>
        <v>#DIV/0!</v>
      </c>
    </row>
    <row r="75" spans="1:14" x14ac:dyDescent="0.2">
      <c r="A75" s="7">
        <f>'Sheet 2. County Level Data'!A73</f>
        <v>0</v>
      </c>
      <c r="B75" s="29" t="e">
        <f>('Formula Calculations (LOCKED)'!C75*'Sheet 2. County Level Data'!$P$4)</f>
        <v>#DIV/0!</v>
      </c>
      <c r="C75" s="29" t="e">
        <f>'Formula Calculations (LOCKED)'!H75/'Formula Calculations (LOCKED)'!$H$2*'Sheet 2. County Level Data'!$P$4</f>
        <v>#DIV/0!</v>
      </c>
      <c r="D75" s="29" t="e">
        <f>('Formula Calculations (LOCKED)'!L75/'Formula Calculations (LOCKED)'!$L$2)*'Sheet 2. County Level Data'!$P$4</f>
        <v>#DIV/0!</v>
      </c>
      <c r="E75" s="29" t="e">
        <f>('Formula Calculations (LOCKED)'!O75/'Formula Calculations (LOCKED)'!$O$2)*'Sheet 2. County Level Data'!$P$4</f>
        <v>#DIV/0!</v>
      </c>
      <c r="F75" s="29" t="e">
        <f>('Formula Calculations (LOCKED)'!D75/'Formula Calculations (LOCKED)'!$D$2)*'Sheet 2. County Level Data'!$P$4</f>
        <v>#DIV/0!</v>
      </c>
      <c r="G75" s="29" t="e">
        <f>'Sheet 2. County Level Data'!$T$11+(0.5*10000000)*'Formula Calculations (LOCKED)'!H75/'Formula Calculations (LOCKED)'!$H$2</f>
        <v>#DIV/0!</v>
      </c>
      <c r="H75" s="29" t="e">
        <f>(0.5*10000000)*'Formula Calculations (LOCKED)'!H75/'Formula Calculations (LOCKED)'!$H$2+(0.5*10000000)*'Formula Calculations (LOCKED)'!D75/'Formula Calculations (LOCKED)'!$D$2</f>
        <v>#DIV/0!</v>
      </c>
      <c r="I75" s="7" t="e">
        <f>'Sheet 2. County Level Data'!$T$12+(0.3333333333*10000000*('Formula Calculations (LOCKED)'!H75/'Formula Calculations (LOCKED)'!$H$2))+(0.3333333333*10000000*('Formula Calculations (LOCKED)'!D75/'Formula Calculations (LOCKED)'!$D$2))</f>
        <v>#DIV/0!</v>
      </c>
      <c r="J75" s="29" t="e">
        <f>'Sheet 2. County Level Data'!$T$13+(0.25*10000000*('Formula Calculations (LOCKED)'!H75/'Formula Calculations (LOCKED)'!$H$2))+(0.25*10000000*('Formula Calculations (LOCKED)'!D75/'Formula Calculations (LOCKED)'!$D$2))+(0.25*10000000*('Formula Calculations (LOCKED)'!L75/'Formula Calculations (LOCKED)'!$L$2))</f>
        <v>#DIV/0!</v>
      </c>
      <c r="K75" s="29" t="e">
        <f>'Sheet 2. County Level Data'!$T$13+(0.25*10000000*('Formula Calculations (LOCKED)'!H75/'Formula Calculations (LOCKED)'!$H$2))+(0.25*10000000*('Formula Calculations (LOCKED)'!D75/'Formula Calculations (LOCKED)'!$D$2))+(0.25*10000000*('Formula Calculations (LOCKED)'!O75/'Formula Calculations (LOCKED)'!$O$2))</f>
        <v>#DIV/0!</v>
      </c>
      <c r="L75" s="29" t="e">
        <f>IF('Formula Calculations (LOCKED)'!$G75=1,('Sheet 2. County Level Data'!$P$12*('Formula Calculations (LOCKED)'!K75/'Formula Calculations (LOCKED)'!$K$2)),((10000000-'Sheet 2. County Level Data'!$P$12)*'Formula Calculations (LOCKED)'!J75/'Formula Calculations (LOCKED)'!$J$2))</f>
        <v>#DIV/0!</v>
      </c>
      <c r="M75" s="29" t="e">
        <f>IF('Formula Calculations (LOCKED)'!$G75=1,((0.5*'Sheet 2. County Level Data'!$P$12)*('Formula Calculations (LOCKED)'!K75/'Formula Calculations (LOCKED)'!$K$2))+((0.5*'Sheet 2. County Level Data'!$P$12)*('Formula Calculations (LOCKED)'!N75/'Formula Calculations (LOCKED)'!$N$2)),((0.5*(10000000-'Sheet 2. County Level Data'!$P$12))*('Formula Calculations (LOCKED)'!J75/'Formula Calculations (LOCKED)'!$J$2))+((0.5*(10000000-'Sheet 2. County Level Data'!$P$12))*('Formula Calculations (LOCKED)'!M75/'Formula Calculations (LOCKED)'!$M$2)))</f>
        <v>#DIV/0!</v>
      </c>
      <c r="N75" s="29" t="e">
        <f>IF('Formula Calculations (LOCKED)'!$G75=1,((0.5*'Sheet 2. County Level Data'!$P$12)*('Formula Calculations (LOCKED)'!K75/'Formula Calculations (LOCKED)'!$K$2))+((0.5*'Sheet 2. County Level Data'!$P$12)*('Formula Calculations (LOCKED)'!R75/'Formula Calculations (LOCKED)'!$R$2)),((0.5*(10000000-'Sheet 2. County Level Data'!$P$12))*('Formula Calculations (LOCKED)'!J75/'Formula Calculations (LOCKED)'!$J$2))+((0.5*(10000000-'Sheet 2. County Level Data'!$P$12))*('Formula Calculations (LOCKED)'!Q75/'Formula Calculations (LOCKED)'!$Q$2)))</f>
        <v>#DIV/0!</v>
      </c>
    </row>
    <row r="76" spans="1:14" x14ac:dyDescent="0.2">
      <c r="A76" s="7">
        <f>'Sheet 2. County Level Data'!A74</f>
        <v>0</v>
      </c>
      <c r="B76" s="29" t="e">
        <f>('Formula Calculations (LOCKED)'!C76*'Sheet 2. County Level Data'!$P$4)</f>
        <v>#DIV/0!</v>
      </c>
      <c r="C76" s="29" t="e">
        <f>'Formula Calculations (LOCKED)'!H76/'Formula Calculations (LOCKED)'!$H$2*'Sheet 2. County Level Data'!$P$4</f>
        <v>#DIV/0!</v>
      </c>
      <c r="D76" s="29" t="e">
        <f>('Formula Calculations (LOCKED)'!L76/'Formula Calculations (LOCKED)'!$L$2)*'Sheet 2. County Level Data'!$P$4</f>
        <v>#DIV/0!</v>
      </c>
      <c r="E76" s="29" t="e">
        <f>('Formula Calculations (LOCKED)'!O76/'Formula Calculations (LOCKED)'!$O$2)*'Sheet 2. County Level Data'!$P$4</f>
        <v>#DIV/0!</v>
      </c>
      <c r="F76" s="29" t="e">
        <f>('Formula Calculations (LOCKED)'!D76/'Formula Calculations (LOCKED)'!$D$2)*'Sheet 2. County Level Data'!$P$4</f>
        <v>#DIV/0!</v>
      </c>
      <c r="G76" s="29" t="e">
        <f>'Sheet 2. County Level Data'!$T$11+(0.5*10000000)*'Formula Calculations (LOCKED)'!H76/'Formula Calculations (LOCKED)'!$H$2</f>
        <v>#DIV/0!</v>
      </c>
      <c r="H76" s="29" t="e">
        <f>(0.5*10000000)*'Formula Calculations (LOCKED)'!H76/'Formula Calculations (LOCKED)'!$H$2+(0.5*10000000)*'Formula Calculations (LOCKED)'!D76/'Formula Calculations (LOCKED)'!$D$2</f>
        <v>#DIV/0!</v>
      </c>
      <c r="I76" s="7" t="e">
        <f>'Sheet 2. County Level Data'!$T$12+(0.3333333333*10000000*('Formula Calculations (LOCKED)'!H76/'Formula Calculations (LOCKED)'!$H$2))+(0.3333333333*10000000*('Formula Calculations (LOCKED)'!D76/'Formula Calculations (LOCKED)'!$D$2))</f>
        <v>#DIV/0!</v>
      </c>
      <c r="J76" s="29" t="e">
        <f>'Sheet 2. County Level Data'!$T$13+(0.25*10000000*('Formula Calculations (LOCKED)'!H76/'Formula Calculations (LOCKED)'!$H$2))+(0.25*10000000*('Formula Calculations (LOCKED)'!D76/'Formula Calculations (LOCKED)'!$D$2))+(0.25*10000000*('Formula Calculations (LOCKED)'!L76/'Formula Calculations (LOCKED)'!$L$2))</f>
        <v>#DIV/0!</v>
      </c>
      <c r="K76" s="29" t="e">
        <f>'Sheet 2. County Level Data'!$T$13+(0.25*10000000*('Formula Calculations (LOCKED)'!H76/'Formula Calculations (LOCKED)'!$H$2))+(0.25*10000000*('Formula Calculations (LOCKED)'!D76/'Formula Calculations (LOCKED)'!$D$2))+(0.25*10000000*('Formula Calculations (LOCKED)'!O76/'Formula Calculations (LOCKED)'!$O$2))</f>
        <v>#DIV/0!</v>
      </c>
      <c r="L76" s="29" t="e">
        <f>IF('Formula Calculations (LOCKED)'!$G76=1,('Sheet 2. County Level Data'!$P$12*('Formula Calculations (LOCKED)'!K76/'Formula Calculations (LOCKED)'!$K$2)),((10000000-'Sheet 2. County Level Data'!$P$12)*'Formula Calculations (LOCKED)'!J76/'Formula Calculations (LOCKED)'!$J$2))</f>
        <v>#DIV/0!</v>
      </c>
      <c r="M76" s="29" t="e">
        <f>IF('Formula Calculations (LOCKED)'!$G76=1,((0.5*'Sheet 2. County Level Data'!$P$12)*('Formula Calculations (LOCKED)'!K76/'Formula Calculations (LOCKED)'!$K$2))+((0.5*'Sheet 2. County Level Data'!$P$12)*('Formula Calculations (LOCKED)'!N76/'Formula Calculations (LOCKED)'!$N$2)),((0.5*(10000000-'Sheet 2. County Level Data'!$P$12))*('Formula Calculations (LOCKED)'!J76/'Formula Calculations (LOCKED)'!$J$2))+((0.5*(10000000-'Sheet 2. County Level Data'!$P$12))*('Formula Calculations (LOCKED)'!M76/'Formula Calculations (LOCKED)'!$M$2)))</f>
        <v>#DIV/0!</v>
      </c>
      <c r="N76" s="29" t="e">
        <f>IF('Formula Calculations (LOCKED)'!$G76=1,((0.5*'Sheet 2. County Level Data'!$P$12)*('Formula Calculations (LOCKED)'!K76/'Formula Calculations (LOCKED)'!$K$2))+((0.5*'Sheet 2. County Level Data'!$P$12)*('Formula Calculations (LOCKED)'!R76/'Formula Calculations (LOCKED)'!$R$2)),((0.5*(10000000-'Sheet 2. County Level Data'!$P$12))*('Formula Calculations (LOCKED)'!J76/'Formula Calculations (LOCKED)'!$J$2))+((0.5*(10000000-'Sheet 2. County Level Data'!$P$12))*('Formula Calculations (LOCKED)'!Q76/'Formula Calculations (LOCKED)'!$Q$2)))</f>
        <v>#DIV/0!</v>
      </c>
    </row>
    <row r="77" spans="1:14" x14ac:dyDescent="0.2">
      <c r="A77" s="7">
        <f>'Sheet 2. County Level Data'!A75</f>
        <v>0</v>
      </c>
      <c r="B77" s="29" t="e">
        <f>('Formula Calculations (LOCKED)'!C77*'Sheet 2. County Level Data'!$P$4)</f>
        <v>#DIV/0!</v>
      </c>
      <c r="C77" s="29" t="e">
        <f>'Formula Calculations (LOCKED)'!H77/'Formula Calculations (LOCKED)'!$H$2*'Sheet 2. County Level Data'!$P$4</f>
        <v>#DIV/0!</v>
      </c>
      <c r="D77" s="29" t="e">
        <f>('Formula Calculations (LOCKED)'!L77/'Formula Calculations (LOCKED)'!$L$2)*'Sheet 2. County Level Data'!$P$4</f>
        <v>#DIV/0!</v>
      </c>
      <c r="E77" s="29" t="e">
        <f>('Formula Calculations (LOCKED)'!O77/'Formula Calculations (LOCKED)'!$O$2)*'Sheet 2. County Level Data'!$P$4</f>
        <v>#DIV/0!</v>
      </c>
      <c r="F77" s="29" t="e">
        <f>('Formula Calculations (LOCKED)'!D77/'Formula Calculations (LOCKED)'!$D$2)*'Sheet 2. County Level Data'!$P$4</f>
        <v>#DIV/0!</v>
      </c>
      <c r="G77" s="29" t="e">
        <f>'Sheet 2. County Level Data'!$T$11+(0.5*10000000)*'Formula Calculations (LOCKED)'!H77/'Formula Calculations (LOCKED)'!$H$2</f>
        <v>#DIV/0!</v>
      </c>
      <c r="H77" s="29" t="e">
        <f>(0.5*10000000)*'Formula Calculations (LOCKED)'!H77/'Formula Calculations (LOCKED)'!$H$2+(0.5*10000000)*'Formula Calculations (LOCKED)'!D77/'Formula Calculations (LOCKED)'!$D$2</f>
        <v>#DIV/0!</v>
      </c>
      <c r="I77" s="7" t="e">
        <f>'Sheet 2. County Level Data'!$T$12+(0.3333333333*10000000*('Formula Calculations (LOCKED)'!H77/'Formula Calculations (LOCKED)'!$H$2))+(0.3333333333*10000000*('Formula Calculations (LOCKED)'!D77/'Formula Calculations (LOCKED)'!$D$2))</f>
        <v>#DIV/0!</v>
      </c>
      <c r="J77" s="29" t="e">
        <f>'Sheet 2. County Level Data'!$T$13+(0.25*10000000*('Formula Calculations (LOCKED)'!H77/'Formula Calculations (LOCKED)'!$H$2))+(0.25*10000000*('Formula Calculations (LOCKED)'!D77/'Formula Calculations (LOCKED)'!$D$2))+(0.25*10000000*('Formula Calculations (LOCKED)'!L77/'Formula Calculations (LOCKED)'!$L$2))</f>
        <v>#DIV/0!</v>
      </c>
      <c r="K77" s="29" t="e">
        <f>'Sheet 2. County Level Data'!$T$13+(0.25*10000000*('Formula Calculations (LOCKED)'!H77/'Formula Calculations (LOCKED)'!$H$2))+(0.25*10000000*('Formula Calculations (LOCKED)'!D77/'Formula Calculations (LOCKED)'!$D$2))+(0.25*10000000*('Formula Calculations (LOCKED)'!O77/'Formula Calculations (LOCKED)'!$O$2))</f>
        <v>#DIV/0!</v>
      </c>
      <c r="L77" s="29" t="e">
        <f>IF('Formula Calculations (LOCKED)'!$G77=1,('Sheet 2. County Level Data'!$P$12*('Formula Calculations (LOCKED)'!K77/'Formula Calculations (LOCKED)'!$K$2)),((10000000-'Sheet 2. County Level Data'!$P$12)*'Formula Calculations (LOCKED)'!J77/'Formula Calculations (LOCKED)'!$J$2))</f>
        <v>#DIV/0!</v>
      </c>
      <c r="M77" s="29" t="e">
        <f>IF('Formula Calculations (LOCKED)'!$G77=1,((0.5*'Sheet 2. County Level Data'!$P$12)*('Formula Calculations (LOCKED)'!K77/'Formula Calculations (LOCKED)'!$K$2))+((0.5*'Sheet 2. County Level Data'!$P$12)*('Formula Calculations (LOCKED)'!N77/'Formula Calculations (LOCKED)'!$N$2)),((0.5*(10000000-'Sheet 2. County Level Data'!$P$12))*('Formula Calculations (LOCKED)'!J77/'Formula Calculations (LOCKED)'!$J$2))+((0.5*(10000000-'Sheet 2. County Level Data'!$P$12))*('Formula Calculations (LOCKED)'!M77/'Formula Calculations (LOCKED)'!$M$2)))</f>
        <v>#DIV/0!</v>
      </c>
      <c r="N77" s="29" t="e">
        <f>IF('Formula Calculations (LOCKED)'!$G77=1,((0.5*'Sheet 2. County Level Data'!$P$12)*('Formula Calculations (LOCKED)'!K77/'Formula Calculations (LOCKED)'!$K$2))+((0.5*'Sheet 2. County Level Data'!$P$12)*('Formula Calculations (LOCKED)'!R77/'Formula Calculations (LOCKED)'!$R$2)),((0.5*(10000000-'Sheet 2. County Level Data'!$P$12))*('Formula Calculations (LOCKED)'!J77/'Formula Calculations (LOCKED)'!$J$2))+((0.5*(10000000-'Sheet 2. County Level Data'!$P$12))*('Formula Calculations (LOCKED)'!Q77/'Formula Calculations (LOCKED)'!$Q$2)))</f>
        <v>#DIV/0!</v>
      </c>
    </row>
    <row r="78" spans="1:14" x14ac:dyDescent="0.2">
      <c r="A78" s="7">
        <f>'Sheet 2. County Level Data'!A76</f>
        <v>0</v>
      </c>
      <c r="B78" s="29" t="e">
        <f>('Formula Calculations (LOCKED)'!C78*'Sheet 2. County Level Data'!$P$4)</f>
        <v>#DIV/0!</v>
      </c>
      <c r="C78" s="29" t="e">
        <f>'Formula Calculations (LOCKED)'!H78/'Formula Calculations (LOCKED)'!$H$2*'Sheet 2. County Level Data'!$P$4</f>
        <v>#DIV/0!</v>
      </c>
      <c r="D78" s="29" t="e">
        <f>('Formula Calculations (LOCKED)'!L78/'Formula Calculations (LOCKED)'!$L$2)*'Sheet 2. County Level Data'!$P$4</f>
        <v>#DIV/0!</v>
      </c>
      <c r="E78" s="29" t="e">
        <f>('Formula Calculations (LOCKED)'!O78/'Formula Calculations (LOCKED)'!$O$2)*'Sheet 2. County Level Data'!$P$4</f>
        <v>#DIV/0!</v>
      </c>
      <c r="F78" s="29" t="e">
        <f>('Formula Calculations (LOCKED)'!D78/'Formula Calculations (LOCKED)'!$D$2)*'Sheet 2. County Level Data'!$P$4</f>
        <v>#DIV/0!</v>
      </c>
      <c r="G78" s="29" t="e">
        <f>'Sheet 2. County Level Data'!$T$11+(0.5*10000000)*'Formula Calculations (LOCKED)'!H78/'Formula Calculations (LOCKED)'!$H$2</f>
        <v>#DIV/0!</v>
      </c>
      <c r="H78" s="29" t="e">
        <f>(0.5*10000000)*'Formula Calculations (LOCKED)'!H78/'Formula Calculations (LOCKED)'!$H$2+(0.5*10000000)*'Formula Calculations (LOCKED)'!D78/'Formula Calculations (LOCKED)'!$D$2</f>
        <v>#DIV/0!</v>
      </c>
      <c r="I78" s="7" t="e">
        <f>'Sheet 2. County Level Data'!$T$12+(0.3333333333*10000000*('Formula Calculations (LOCKED)'!H78/'Formula Calculations (LOCKED)'!$H$2))+(0.3333333333*10000000*('Formula Calculations (LOCKED)'!D78/'Formula Calculations (LOCKED)'!$D$2))</f>
        <v>#DIV/0!</v>
      </c>
      <c r="J78" s="29" t="e">
        <f>'Sheet 2. County Level Data'!$T$13+(0.25*10000000*('Formula Calculations (LOCKED)'!H78/'Formula Calculations (LOCKED)'!$H$2))+(0.25*10000000*('Formula Calculations (LOCKED)'!D78/'Formula Calculations (LOCKED)'!$D$2))+(0.25*10000000*('Formula Calculations (LOCKED)'!L78/'Formula Calculations (LOCKED)'!$L$2))</f>
        <v>#DIV/0!</v>
      </c>
      <c r="K78" s="29" t="e">
        <f>'Sheet 2. County Level Data'!$T$13+(0.25*10000000*('Formula Calculations (LOCKED)'!H78/'Formula Calculations (LOCKED)'!$H$2))+(0.25*10000000*('Formula Calculations (LOCKED)'!D78/'Formula Calculations (LOCKED)'!$D$2))+(0.25*10000000*('Formula Calculations (LOCKED)'!O78/'Formula Calculations (LOCKED)'!$O$2))</f>
        <v>#DIV/0!</v>
      </c>
      <c r="L78" s="29" t="e">
        <f>IF('Formula Calculations (LOCKED)'!$G78=1,('Sheet 2. County Level Data'!$P$12*('Formula Calculations (LOCKED)'!K78/'Formula Calculations (LOCKED)'!$K$2)),((10000000-'Sheet 2. County Level Data'!$P$12)*'Formula Calculations (LOCKED)'!J78/'Formula Calculations (LOCKED)'!$J$2))</f>
        <v>#DIV/0!</v>
      </c>
      <c r="M78" s="29" t="e">
        <f>IF('Formula Calculations (LOCKED)'!$G78=1,((0.5*'Sheet 2. County Level Data'!$P$12)*('Formula Calculations (LOCKED)'!K78/'Formula Calculations (LOCKED)'!$K$2))+((0.5*'Sheet 2. County Level Data'!$P$12)*('Formula Calculations (LOCKED)'!N78/'Formula Calculations (LOCKED)'!$N$2)),((0.5*(10000000-'Sheet 2. County Level Data'!$P$12))*('Formula Calculations (LOCKED)'!J78/'Formula Calculations (LOCKED)'!$J$2))+((0.5*(10000000-'Sheet 2. County Level Data'!$P$12))*('Formula Calculations (LOCKED)'!M78/'Formula Calculations (LOCKED)'!$M$2)))</f>
        <v>#DIV/0!</v>
      </c>
      <c r="N78" s="29" t="e">
        <f>IF('Formula Calculations (LOCKED)'!$G78=1,((0.5*'Sheet 2. County Level Data'!$P$12)*('Formula Calculations (LOCKED)'!K78/'Formula Calculations (LOCKED)'!$K$2))+((0.5*'Sheet 2. County Level Data'!$P$12)*('Formula Calculations (LOCKED)'!R78/'Formula Calculations (LOCKED)'!$R$2)),((0.5*(10000000-'Sheet 2. County Level Data'!$P$12))*('Formula Calculations (LOCKED)'!J78/'Formula Calculations (LOCKED)'!$J$2))+((0.5*(10000000-'Sheet 2. County Level Data'!$P$12))*('Formula Calculations (LOCKED)'!Q78/'Formula Calculations (LOCKED)'!$Q$2)))</f>
        <v>#DIV/0!</v>
      </c>
    </row>
    <row r="79" spans="1:14" x14ac:dyDescent="0.2">
      <c r="A79" s="7">
        <f>'Sheet 2. County Level Data'!A77</f>
        <v>0</v>
      </c>
      <c r="B79" s="29" t="e">
        <f>('Formula Calculations (LOCKED)'!C79*'Sheet 2. County Level Data'!$P$4)</f>
        <v>#DIV/0!</v>
      </c>
      <c r="C79" s="29" t="e">
        <f>'Formula Calculations (LOCKED)'!H79/'Formula Calculations (LOCKED)'!$H$2*'Sheet 2. County Level Data'!$P$4</f>
        <v>#DIV/0!</v>
      </c>
      <c r="D79" s="29" t="e">
        <f>('Formula Calculations (LOCKED)'!L79/'Formula Calculations (LOCKED)'!$L$2)*'Sheet 2. County Level Data'!$P$4</f>
        <v>#DIV/0!</v>
      </c>
      <c r="E79" s="29" t="e">
        <f>('Formula Calculations (LOCKED)'!O79/'Formula Calculations (LOCKED)'!$O$2)*'Sheet 2. County Level Data'!$P$4</f>
        <v>#DIV/0!</v>
      </c>
      <c r="F79" s="29" t="e">
        <f>('Formula Calculations (LOCKED)'!D79/'Formula Calculations (LOCKED)'!$D$2)*'Sheet 2. County Level Data'!$P$4</f>
        <v>#DIV/0!</v>
      </c>
      <c r="G79" s="29" t="e">
        <f>'Sheet 2. County Level Data'!$T$11+(0.5*10000000)*'Formula Calculations (LOCKED)'!H79/'Formula Calculations (LOCKED)'!$H$2</f>
        <v>#DIV/0!</v>
      </c>
      <c r="H79" s="29" t="e">
        <f>(0.5*10000000)*'Formula Calculations (LOCKED)'!H79/'Formula Calculations (LOCKED)'!$H$2+(0.5*10000000)*'Formula Calculations (LOCKED)'!D79/'Formula Calculations (LOCKED)'!$D$2</f>
        <v>#DIV/0!</v>
      </c>
      <c r="I79" s="7" t="e">
        <f>'Sheet 2. County Level Data'!$T$12+(0.3333333333*10000000*('Formula Calculations (LOCKED)'!H79/'Formula Calculations (LOCKED)'!$H$2))+(0.3333333333*10000000*('Formula Calculations (LOCKED)'!D79/'Formula Calculations (LOCKED)'!$D$2))</f>
        <v>#DIV/0!</v>
      </c>
      <c r="J79" s="29" t="e">
        <f>'Sheet 2. County Level Data'!$T$13+(0.25*10000000*('Formula Calculations (LOCKED)'!H79/'Formula Calculations (LOCKED)'!$H$2))+(0.25*10000000*('Formula Calculations (LOCKED)'!D79/'Formula Calculations (LOCKED)'!$D$2))+(0.25*10000000*('Formula Calculations (LOCKED)'!L79/'Formula Calculations (LOCKED)'!$L$2))</f>
        <v>#DIV/0!</v>
      </c>
      <c r="K79" s="29" t="e">
        <f>'Sheet 2. County Level Data'!$T$13+(0.25*10000000*('Formula Calculations (LOCKED)'!H79/'Formula Calculations (LOCKED)'!$H$2))+(0.25*10000000*('Formula Calculations (LOCKED)'!D79/'Formula Calculations (LOCKED)'!$D$2))+(0.25*10000000*('Formula Calculations (LOCKED)'!O79/'Formula Calculations (LOCKED)'!$O$2))</f>
        <v>#DIV/0!</v>
      </c>
      <c r="L79" s="29" t="e">
        <f>IF('Formula Calculations (LOCKED)'!$G79=1,('Sheet 2. County Level Data'!$P$12*('Formula Calculations (LOCKED)'!K79/'Formula Calculations (LOCKED)'!$K$2)),((10000000-'Sheet 2. County Level Data'!$P$12)*'Formula Calculations (LOCKED)'!J79/'Formula Calculations (LOCKED)'!$J$2))</f>
        <v>#DIV/0!</v>
      </c>
      <c r="M79" s="29" t="e">
        <f>IF('Formula Calculations (LOCKED)'!$G79=1,((0.5*'Sheet 2. County Level Data'!$P$12)*('Formula Calculations (LOCKED)'!K79/'Formula Calculations (LOCKED)'!$K$2))+((0.5*'Sheet 2. County Level Data'!$P$12)*('Formula Calculations (LOCKED)'!N79/'Formula Calculations (LOCKED)'!$N$2)),((0.5*(10000000-'Sheet 2. County Level Data'!$P$12))*('Formula Calculations (LOCKED)'!J79/'Formula Calculations (LOCKED)'!$J$2))+((0.5*(10000000-'Sheet 2. County Level Data'!$P$12))*('Formula Calculations (LOCKED)'!M79/'Formula Calculations (LOCKED)'!$M$2)))</f>
        <v>#DIV/0!</v>
      </c>
      <c r="N79" s="29" t="e">
        <f>IF('Formula Calculations (LOCKED)'!$G79=1,((0.5*'Sheet 2. County Level Data'!$P$12)*('Formula Calculations (LOCKED)'!K79/'Formula Calculations (LOCKED)'!$K$2))+((0.5*'Sheet 2. County Level Data'!$P$12)*('Formula Calculations (LOCKED)'!R79/'Formula Calculations (LOCKED)'!$R$2)),((0.5*(10000000-'Sheet 2. County Level Data'!$P$12))*('Formula Calculations (LOCKED)'!J79/'Formula Calculations (LOCKED)'!$J$2))+((0.5*(10000000-'Sheet 2. County Level Data'!$P$12))*('Formula Calculations (LOCKED)'!Q79/'Formula Calculations (LOCKED)'!$Q$2)))</f>
        <v>#DIV/0!</v>
      </c>
    </row>
    <row r="80" spans="1:14" x14ac:dyDescent="0.2">
      <c r="A80" s="7">
        <f>'Sheet 2. County Level Data'!A78</f>
        <v>0</v>
      </c>
      <c r="B80" s="29" t="e">
        <f>('Formula Calculations (LOCKED)'!C80*'Sheet 2. County Level Data'!$P$4)</f>
        <v>#DIV/0!</v>
      </c>
      <c r="C80" s="29" t="e">
        <f>'Formula Calculations (LOCKED)'!H80/'Formula Calculations (LOCKED)'!$H$2*'Sheet 2. County Level Data'!$P$4</f>
        <v>#DIV/0!</v>
      </c>
      <c r="D80" s="29" t="e">
        <f>('Formula Calculations (LOCKED)'!L80/'Formula Calculations (LOCKED)'!$L$2)*'Sheet 2. County Level Data'!$P$4</f>
        <v>#DIV/0!</v>
      </c>
      <c r="E80" s="29" t="e">
        <f>('Formula Calculations (LOCKED)'!O80/'Formula Calculations (LOCKED)'!$O$2)*'Sheet 2. County Level Data'!$P$4</f>
        <v>#DIV/0!</v>
      </c>
      <c r="F80" s="29" t="e">
        <f>('Formula Calculations (LOCKED)'!D80/'Formula Calculations (LOCKED)'!$D$2)*'Sheet 2. County Level Data'!$P$4</f>
        <v>#DIV/0!</v>
      </c>
      <c r="G80" s="29" t="e">
        <f>'Sheet 2. County Level Data'!$T$11+(0.5*10000000)*'Formula Calculations (LOCKED)'!H80/'Formula Calculations (LOCKED)'!$H$2</f>
        <v>#DIV/0!</v>
      </c>
      <c r="H80" s="29" t="e">
        <f>(0.5*10000000)*'Formula Calculations (LOCKED)'!H80/'Formula Calculations (LOCKED)'!$H$2+(0.5*10000000)*'Formula Calculations (LOCKED)'!D80/'Formula Calculations (LOCKED)'!$D$2</f>
        <v>#DIV/0!</v>
      </c>
      <c r="I80" s="7" t="e">
        <f>'Sheet 2. County Level Data'!$T$12+(0.3333333333*10000000*('Formula Calculations (LOCKED)'!H80/'Formula Calculations (LOCKED)'!$H$2))+(0.3333333333*10000000*('Formula Calculations (LOCKED)'!D80/'Formula Calculations (LOCKED)'!$D$2))</f>
        <v>#DIV/0!</v>
      </c>
      <c r="J80" s="29" t="e">
        <f>'Sheet 2. County Level Data'!$T$13+(0.25*10000000*('Formula Calculations (LOCKED)'!H80/'Formula Calculations (LOCKED)'!$H$2))+(0.25*10000000*('Formula Calculations (LOCKED)'!D80/'Formula Calculations (LOCKED)'!$D$2))+(0.25*10000000*('Formula Calculations (LOCKED)'!L80/'Formula Calculations (LOCKED)'!$L$2))</f>
        <v>#DIV/0!</v>
      </c>
      <c r="K80" s="29" t="e">
        <f>'Sheet 2. County Level Data'!$T$13+(0.25*10000000*('Formula Calculations (LOCKED)'!H80/'Formula Calculations (LOCKED)'!$H$2))+(0.25*10000000*('Formula Calculations (LOCKED)'!D80/'Formula Calculations (LOCKED)'!$D$2))+(0.25*10000000*('Formula Calculations (LOCKED)'!O80/'Formula Calculations (LOCKED)'!$O$2))</f>
        <v>#DIV/0!</v>
      </c>
      <c r="L80" s="29" t="e">
        <f>IF('Formula Calculations (LOCKED)'!$G80=1,('Sheet 2. County Level Data'!$P$12*('Formula Calculations (LOCKED)'!K80/'Formula Calculations (LOCKED)'!$K$2)),((10000000-'Sheet 2. County Level Data'!$P$12)*'Formula Calculations (LOCKED)'!J80/'Formula Calculations (LOCKED)'!$J$2))</f>
        <v>#DIV/0!</v>
      </c>
      <c r="M80" s="29" t="e">
        <f>IF('Formula Calculations (LOCKED)'!$G80=1,((0.5*'Sheet 2. County Level Data'!$P$12)*('Formula Calculations (LOCKED)'!K80/'Formula Calculations (LOCKED)'!$K$2))+((0.5*'Sheet 2. County Level Data'!$P$12)*('Formula Calculations (LOCKED)'!N80/'Formula Calculations (LOCKED)'!$N$2)),((0.5*(10000000-'Sheet 2. County Level Data'!$P$12))*('Formula Calculations (LOCKED)'!J80/'Formula Calculations (LOCKED)'!$J$2))+((0.5*(10000000-'Sheet 2. County Level Data'!$P$12))*('Formula Calculations (LOCKED)'!M80/'Formula Calculations (LOCKED)'!$M$2)))</f>
        <v>#DIV/0!</v>
      </c>
      <c r="N80" s="29" t="e">
        <f>IF('Formula Calculations (LOCKED)'!$G80=1,((0.5*'Sheet 2. County Level Data'!$P$12)*('Formula Calculations (LOCKED)'!K80/'Formula Calculations (LOCKED)'!$K$2))+((0.5*'Sheet 2. County Level Data'!$P$12)*('Formula Calculations (LOCKED)'!R80/'Formula Calculations (LOCKED)'!$R$2)),((0.5*(10000000-'Sheet 2. County Level Data'!$P$12))*('Formula Calculations (LOCKED)'!J80/'Formula Calculations (LOCKED)'!$J$2))+((0.5*(10000000-'Sheet 2. County Level Data'!$P$12))*('Formula Calculations (LOCKED)'!Q80/'Formula Calculations (LOCKED)'!$Q$2)))</f>
        <v>#DIV/0!</v>
      </c>
    </row>
    <row r="81" spans="1:14" x14ac:dyDescent="0.2">
      <c r="A81" s="7">
        <f>'Sheet 2. County Level Data'!A79</f>
        <v>0</v>
      </c>
      <c r="B81" s="29" t="e">
        <f>('Formula Calculations (LOCKED)'!C81*'Sheet 2. County Level Data'!$P$4)</f>
        <v>#DIV/0!</v>
      </c>
      <c r="C81" s="29" t="e">
        <f>'Formula Calculations (LOCKED)'!H81/'Formula Calculations (LOCKED)'!$H$2*'Sheet 2. County Level Data'!$P$4</f>
        <v>#DIV/0!</v>
      </c>
      <c r="D81" s="29" t="e">
        <f>('Formula Calculations (LOCKED)'!L81/'Formula Calculations (LOCKED)'!$L$2)*'Sheet 2. County Level Data'!$P$4</f>
        <v>#DIV/0!</v>
      </c>
      <c r="E81" s="29" t="e">
        <f>('Formula Calculations (LOCKED)'!O81/'Formula Calculations (LOCKED)'!$O$2)*'Sheet 2. County Level Data'!$P$4</f>
        <v>#DIV/0!</v>
      </c>
      <c r="F81" s="29" t="e">
        <f>('Formula Calculations (LOCKED)'!D81/'Formula Calculations (LOCKED)'!$D$2)*'Sheet 2. County Level Data'!$P$4</f>
        <v>#DIV/0!</v>
      </c>
      <c r="G81" s="29" t="e">
        <f>'Sheet 2. County Level Data'!$T$11+(0.5*10000000)*'Formula Calculations (LOCKED)'!H81/'Formula Calculations (LOCKED)'!$H$2</f>
        <v>#DIV/0!</v>
      </c>
      <c r="H81" s="29" t="e">
        <f>(0.5*10000000)*'Formula Calculations (LOCKED)'!H81/'Formula Calculations (LOCKED)'!$H$2+(0.5*10000000)*'Formula Calculations (LOCKED)'!D81/'Formula Calculations (LOCKED)'!$D$2</f>
        <v>#DIV/0!</v>
      </c>
      <c r="I81" s="7" t="e">
        <f>'Sheet 2. County Level Data'!$T$12+(0.3333333333*10000000*('Formula Calculations (LOCKED)'!H81/'Formula Calculations (LOCKED)'!$H$2))+(0.3333333333*10000000*('Formula Calculations (LOCKED)'!D81/'Formula Calculations (LOCKED)'!$D$2))</f>
        <v>#DIV/0!</v>
      </c>
      <c r="J81" s="29" t="e">
        <f>'Sheet 2. County Level Data'!$T$13+(0.25*10000000*('Formula Calculations (LOCKED)'!H81/'Formula Calculations (LOCKED)'!$H$2))+(0.25*10000000*('Formula Calculations (LOCKED)'!D81/'Formula Calculations (LOCKED)'!$D$2))+(0.25*10000000*('Formula Calculations (LOCKED)'!L81/'Formula Calculations (LOCKED)'!$L$2))</f>
        <v>#DIV/0!</v>
      </c>
      <c r="K81" s="29" t="e">
        <f>'Sheet 2. County Level Data'!$T$13+(0.25*10000000*('Formula Calculations (LOCKED)'!H81/'Formula Calculations (LOCKED)'!$H$2))+(0.25*10000000*('Formula Calculations (LOCKED)'!D81/'Formula Calculations (LOCKED)'!$D$2))+(0.25*10000000*('Formula Calculations (LOCKED)'!O81/'Formula Calculations (LOCKED)'!$O$2))</f>
        <v>#DIV/0!</v>
      </c>
      <c r="L81" s="29" t="e">
        <f>IF('Formula Calculations (LOCKED)'!$G81=1,('Sheet 2. County Level Data'!$P$12*('Formula Calculations (LOCKED)'!K81/'Formula Calculations (LOCKED)'!$K$2)),((10000000-'Sheet 2. County Level Data'!$P$12)*'Formula Calculations (LOCKED)'!J81/'Formula Calculations (LOCKED)'!$J$2))</f>
        <v>#DIV/0!</v>
      </c>
      <c r="M81" s="29" t="e">
        <f>IF('Formula Calculations (LOCKED)'!$G81=1,((0.5*'Sheet 2. County Level Data'!$P$12)*('Formula Calculations (LOCKED)'!K81/'Formula Calculations (LOCKED)'!$K$2))+((0.5*'Sheet 2. County Level Data'!$P$12)*('Formula Calculations (LOCKED)'!N81/'Formula Calculations (LOCKED)'!$N$2)),((0.5*(10000000-'Sheet 2. County Level Data'!$P$12))*('Formula Calculations (LOCKED)'!J81/'Formula Calculations (LOCKED)'!$J$2))+((0.5*(10000000-'Sheet 2. County Level Data'!$P$12))*('Formula Calculations (LOCKED)'!M81/'Formula Calculations (LOCKED)'!$M$2)))</f>
        <v>#DIV/0!</v>
      </c>
      <c r="N81" s="29" t="e">
        <f>IF('Formula Calculations (LOCKED)'!$G81=1,((0.5*'Sheet 2. County Level Data'!$P$12)*('Formula Calculations (LOCKED)'!K81/'Formula Calculations (LOCKED)'!$K$2))+((0.5*'Sheet 2. County Level Data'!$P$12)*('Formula Calculations (LOCKED)'!R81/'Formula Calculations (LOCKED)'!$R$2)),((0.5*(10000000-'Sheet 2. County Level Data'!$P$12))*('Formula Calculations (LOCKED)'!J81/'Formula Calculations (LOCKED)'!$J$2))+((0.5*(10000000-'Sheet 2. County Level Data'!$P$12))*('Formula Calculations (LOCKED)'!Q81/'Formula Calculations (LOCKED)'!$Q$2)))</f>
        <v>#DIV/0!</v>
      </c>
    </row>
    <row r="82" spans="1:14" x14ac:dyDescent="0.2">
      <c r="A82" s="7">
        <f>'Sheet 2. County Level Data'!A80</f>
        <v>0</v>
      </c>
      <c r="B82" s="29" t="e">
        <f>('Formula Calculations (LOCKED)'!C82*'Sheet 2. County Level Data'!$P$4)</f>
        <v>#DIV/0!</v>
      </c>
      <c r="C82" s="29" t="e">
        <f>'Formula Calculations (LOCKED)'!H82/'Formula Calculations (LOCKED)'!$H$2*'Sheet 2. County Level Data'!$P$4</f>
        <v>#DIV/0!</v>
      </c>
      <c r="D82" s="29" t="e">
        <f>('Formula Calculations (LOCKED)'!L82/'Formula Calculations (LOCKED)'!$L$2)*'Sheet 2. County Level Data'!$P$4</f>
        <v>#DIV/0!</v>
      </c>
      <c r="E82" s="29" t="e">
        <f>('Formula Calculations (LOCKED)'!O82/'Formula Calculations (LOCKED)'!$O$2)*'Sheet 2. County Level Data'!$P$4</f>
        <v>#DIV/0!</v>
      </c>
      <c r="F82" s="29" t="e">
        <f>('Formula Calculations (LOCKED)'!D82/'Formula Calculations (LOCKED)'!$D$2)*'Sheet 2. County Level Data'!$P$4</f>
        <v>#DIV/0!</v>
      </c>
      <c r="G82" s="29" t="e">
        <f>'Sheet 2. County Level Data'!$T$11+(0.5*10000000)*'Formula Calculations (LOCKED)'!H82/'Formula Calculations (LOCKED)'!$H$2</f>
        <v>#DIV/0!</v>
      </c>
      <c r="H82" s="29" t="e">
        <f>(0.5*10000000)*'Formula Calculations (LOCKED)'!H82/'Formula Calculations (LOCKED)'!$H$2+(0.5*10000000)*'Formula Calculations (LOCKED)'!D82/'Formula Calculations (LOCKED)'!$D$2</f>
        <v>#DIV/0!</v>
      </c>
      <c r="I82" s="7" t="e">
        <f>'Sheet 2. County Level Data'!$T$12+(0.3333333333*10000000*('Formula Calculations (LOCKED)'!H82/'Formula Calculations (LOCKED)'!$H$2))+(0.3333333333*10000000*('Formula Calculations (LOCKED)'!D82/'Formula Calculations (LOCKED)'!$D$2))</f>
        <v>#DIV/0!</v>
      </c>
      <c r="J82" s="29" t="e">
        <f>'Sheet 2. County Level Data'!$T$13+(0.25*10000000*('Formula Calculations (LOCKED)'!H82/'Formula Calculations (LOCKED)'!$H$2))+(0.25*10000000*('Formula Calculations (LOCKED)'!D82/'Formula Calculations (LOCKED)'!$D$2))+(0.25*10000000*('Formula Calculations (LOCKED)'!L82/'Formula Calculations (LOCKED)'!$L$2))</f>
        <v>#DIV/0!</v>
      </c>
      <c r="K82" s="29" t="e">
        <f>'Sheet 2. County Level Data'!$T$13+(0.25*10000000*('Formula Calculations (LOCKED)'!H82/'Formula Calculations (LOCKED)'!$H$2))+(0.25*10000000*('Formula Calculations (LOCKED)'!D82/'Formula Calculations (LOCKED)'!$D$2))+(0.25*10000000*('Formula Calculations (LOCKED)'!O82/'Formula Calculations (LOCKED)'!$O$2))</f>
        <v>#DIV/0!</v>
      </c>
      <c r="L82" s="29" t="e">
        <f>IF('Formula Calculations (LOCKED)'!$G82=1,('Sheet 2. County Level Data'!$P$12*('Formula Calculations (LOCKED)'!K82/'Formula Calculations (LOCKED)'!$K$2)),((10000000-'Sheet 2. County Level Data'!$P$12)*'Formula Calculations (LOCKED)'!J82/'Formula Calculations (LOCKED)'!$J$2))</f>
        <v>#DIV/0!</v>
      </c>
      <c r="M82" s="29" t="e">
        <f>IF('Formula Calculations (LOCKED)'!$G82=1,((0.5*'Sheet 2. County Level Data'!$P$12)*('Formula Calculations (LOCKED)'!K82/'Formula Calculations (LOCKED)'!$K$2))+((0.5*'Sheet 2. County Level Data'!$P$12)*('Formula Calculations (LOCKED)'!N82/'Formula Calculations (LOCKED)'!$N$2)),((0.5*(10000000-'Sheet 2. County Level Data'!$P$12))*('Formula Calculations (LOCKED)'!J82/'Formula Calculations (LOCKED)'!$J$2))+((0.5*(10000000-'Sheet 2. County Level Data'!$P$12))*('Formula Calculations (LOCKED)'!M82/'Formula Calculations (LOCKED)'!$M$2)))</f>
        <v>#DIV/0!</v>
      </c>
      <c r="N82" s="29" t="e">
        <f>IF('Formula Calculations (LOCKED)'!$G82=1,((0.5*'Sheet 2. County Level Data'!$P$12)*('Formula Calculations (LOCKED)'!K82/'Formula Calculations (LOCKED)'!$K$2))+((0.5*'Sheet 2. County Level Data'!$P$12)*('Formula Calculations (LOCKED)'!R82/'Formula Calculations (LOCKED)'!$R$2)),((0.5*(10000000-'Sheet 2. County Level Data'!$P$12))*('Formula Calculations (LOCKED)'!J82/'Formula Calculations (LOCKED)'!$J$2))+((0.5*(10000000-'Sheet 2. County Level Data'!$P$12))*('Formula Calculations (LOCKED)'!Q82/'Formula Calculations (LOCKED)'!$Q$2)))</f>
        <v>#DIV/0!</v>
      </c>
    </row>
    <row r="83" spans="1:14" x14ac:dyDescent="0.2">
      <c r="A83" s="7">
        <f>'Sheet 2. County Level Data'!A81</f>
        <v>0</v>
      </c>
      <c r="B83" s="29" t="e">
        <f>('Formula Calculations (LOCKED)'!C83*'Sheet 2. County Level Data'!$P$4)</f>
        <v>#DIV/0!</v>
      </c>
      <c r="C83" s="29" t="e">
        <f>'Formula Calculations (LOCKED)'!H83/'Formula Calculations (LOCKED)'!$H$2*'Sheet 2. County Level Data'!$P$4</f>
        <v>#DIV/0!</v>
      </c>
      <c r="D83" s="29" t="e">
        <f>('Formula Calculations (LOCKED)'!L83/'Formula Calculations (LOCKED)'!$L$2)*'Sheet 2. County Level Data'!$P$4</f>
        <v>#DIV/0!</v>
      </c>
      <c r="E83" s="29" t="e">
        <f>('Formula Calculations (LOCKED)'!O83/'Formula Calculations (LOCKED)'!$O$2)*'Sheet 2. County Level Data'!$P$4</f>
        <v>#DIV/0!</v>
      </c>
      <c r="F83" s="29" t="e">
        <f>('Formula Calculations (LOCKED)'!D83/'Formula Calculations (LOCKED)'!$D$2)*'Sheet 2. County Level Data'!$P$4</f>
        <v>#DIV/0!</v>
      </c>
      <c r="G83" s="29" t="e">
        <f>'Sheet 2. County Level Data'!$T$11+(0.5*10000000)*'Formula Calculations (LOCKED)'!H83/'Formula Calculations (LOCKED)'!$H$2</f>
        <v>#DIV/0!</v>
      </c>
      <c r="H83" s="29" t="e">
        <f>(0.5*10000000)*'Formula Calculations (LOCKED)'!H83/'Formula Calculations (LOCKED)'!$H$2+(0.5*10000000)*'Formula Calculations (LOCKED)'!D83/'Formula Calculations (LOCKED)'!$D$2</f>
        <v>#DIV/0!</v>
      </c>
      <c r="I83" s="7" t="e">
        <f>'Sheet 2. County Level Data'!$T$12+(0.3333333333*10000000*('Formula Calculations (LOCKED)'!H83/'Formula Calculations (LOCKED)'!$H$2))+(0.3333333333*10000000*('Formula Calculations (LOCKED)'!D83/'Formula Calculations (LOCKED)'!$D$2))</f>
        <v>#DIV/0!</v>
      </c>
      <c r="J83" s="29" t="e">
        <f>'Sheet 2. County Level Data'!$T$13+(0.25*10000000*('Formula Calculations (LOCKED)'!H83/'Formula Calculations (LOCKED)'!$H$2))+(0.25*10000000*('Formula Calculations (LOCKED)'!D83/'Formula Calculations (LOCKED)'!$D$2))+(0.25*10000000*('Formula Calculations (LOCKED)'!L83/'Formula Calculations (LOCKED)'!$L$2))</f>
        <v>#DIV/0!</v>
      </c>
      <c r="K83" s="29" t="e">
        <f>'Sheet 2. County Level Data'!$T$13+(0.25*10000000*('Formula Calculations (LOCKED)'!H83/'Formula Calculations (LOCKED)'!$H$2))+(0.25*10000000*('Formula Calculations (LOCKED)'!D83/'Formula Calculations (LOCKED)'!$D$2))+(0.25*10000000*('Formula Calculations (LOCKED)'!O83/'Formula Calculations (LOCKED)'!$O$2))</f>
        <v>#DIV/0!</v>
      </c>
      <c r="L83" s="29" t="e">
        <f>IF('Formula Calculations (LOCKED)'!$G83=1,('Sheet 2. County Level Data'!$P$12*('Formula Calculations (LOCKED)'!K83/'Formula Calculations (LOCKED)'!$K$2)),((10000000-'Sheet 2. County Level Data'!$P$12)*'Formula Calculations (LOCKED)'!J83/'Formula Calculations (LOCKED)'!$J$2))</f>
        <v>#DIV/0!</v>
      </c>
      <c r="M83" s="29" t="e">
        <f>IF('Formula Calculations (LOCKED)'!$G83=1,((0.5*'Sheet 2. County Level Data'!$P$12)*('Formula Calculations (LOCKED)'!K83/'Formula Calculations (LOCKED)'!$K$2))+((0.5*'Sheet 2. County Level Data'!$P$12)*('Formula Calculations (LOCKED)'!N83/'Formula Calculations (LOCKED)'!$N$2)),((0.5*(10000000-'Sheet 2. County Level Data'!$P$12))*('Formula Calculations (LOCKED)'!J83/'Formula Calculations (LOCKED)'!$J$2))+((0.5*(10000000-'Sheet 2. County Level Data'!$P$12))*('Formula Calculations (LOCKED)'!M83/'Formula Calculations (LOCKED)'!$M$2)))</f>
        <v>#DIV/0!</v>
      </c>
      <c r="N83" s="29" t="e">
        <f>IF('Formula Calculations (LOCKED)'!$G83=1,((0.5*'Sheet 2. County Level Data'!$P$12)*('Formula Calculations (LOCKED)'!K83/'Formula Calculations (LOCKED)'!$K$2))+((0.5*'Sheet 2. County Level Data'!$P$12)*('Formula Calculations (LOCKED)'!R83/'Formula Calculations (LOCKED)'!$R$2)),((0.5*(10000000-'Sheet 2. County Level Data'!$P$12))*('Formula Calculations (LOCKED)'!J83/'Formula Calculations (LOCKED)'!$J$2))+((0.5*(10000000-'Sheet 2. County Level Data'!$P$12))*('Formula Calculations (LOCKED)'!Q83/'Formula Calculations (LOCKED)'!$Q$2)))</f>
        <v>#DIV/0!</v>
      </c>
    </row>
    <row r="84" spans="1:14" x14ac:dyDescent="0.2">
      <c r="A84" s="7">
        <f>'Sheet 2. County Level Data'!A82</f>
        <v>0</v>
      </c>
      <c r="B84" s="29" t="e">
        <f>('Formula Calculations (LOCKED)'!C84*'Sheet 2. County Level Data'!$P$4)</f>
        <v>#DIV/0!</v>
      </c>
      <c r="C84" s="29" t="e">
        <f>'Formula Calculations (LOCKED)'!H84/'Formula Calculations (LOCKED)'!$H$2*'Sheet 2. County Level Data'!$P$4</f>
        <v>#DIV/0!</v>
      </c>
      <c r="D84" s="29" t="e">
        <f>('Formula Calculations (LOCKED)'!L84/'Formula Calculations (LOCKED)'!$L$2)*'Sheet 2. County Level Data'!$P$4</f>
        <v>#DIV/0!</v>
      </c>
      <c r="E84" s="29" t="e">
        <f>('Formula Calculations (LOCKED)'!O84/'Formula Calculations (LOCKED)'!$O$2)*'Sheet 2. County Level Data'!$P$4</f>
        <v>#DIV/0!</v>
      </c>
      <c r="F84" s="29" t="e">
        <f>('Formula Calculations (LOCKED)'!D84/'Formula Calculations (LOCKED)'!$D$2)*'Sheet 2. County Level Data'!$P$4</f>
        <v>#DIV/0!</v>
      </c>
      <c r="G84" s="29" t="e">
        <f>'Sheet 2. County Level Data'!$T$11+(0.5*10000000)*'Formula Calculations (LOCKED)'!H84/'Formula Calculations (LOCKED)'!$H$2</f>
        <v>#DIV/0!</v>
      </c>
      <c r="H84" s="29" t="e">
        <f>(0.5*10000000)*'Formula Calculations (LOCKED)'!H84/'Formula Calculations (LOCKED)'!$H$2+(0.5*10000000)*'Formula Calculations (LOCKED)'!D84/'Formula Calculations (LOCKED)'!$D$2</f>
        <v>#DIV/0!</v>
      </c>
      <c r="I84" s="7" t="e">
        <f>'Sheet 2. County Level Data'!$T$12+(0.3333333333*10000000*('Formula Calculations (LOCKED)'!H84/'Formula Calculations (LOCKED)'!$H$2))+(0.3333333333*10000000*('Formula Calculations (LOCKED)'!D84/'Formula Calculations (LOCKED)'!$D$2))</f>
        <v>#DIV/0!</v>
      </c>
      <c r="J84" s="29" t="e">
        <f>'Sheet 2. County Level Data'!$T$13+(0.25*10000000*('Formula Calculations (LOCKED)'!H84/'Formula Calculations (LOCKED)'!$H$2))+(0.25*10000000*('Formula Calculations (LOCKED)'!D84/'Formula Calculations (LOCKED)'!$D$2))+(0.25*10000000*('Formula Calculations (LOCKED)'!L84/'Formula Calculations (LOCKED)'!$L$2))</f>
        <v>#DIV/0!</v>
      </c>
      <c r="K84" s="29" t="e">
        <f>'Sheet 2. County Level Data'!$T$13+(0.25*10000000*('Formula Calculations (LOCKED)'!H84/'Formula Calculations (LOCKED)'!$H$2))+(0.25*10000000*('Formula Calculations (LOCKED)'!D84/'Formula Calculations (LOCKED)'!$D$2))+(0.25*10000000*('Formula Calculations (LOCKED)'!O84/'Formula Calculations (LOCKED)'!$O$2))</f>
        <v>#DIV/0!</v>
      </c>
      <c r="L84" s="29" t="e">
        <f>IF('Formula Calculations (LOCKED)'!$G84=1,('Sheet 2. County Level Data'!$P$12*('Formula Calculations (LOCKED)'!K84/'Formula Calculations (LOCKED)'!$K$2)),((10000000-'Sheet 2. County Level Data'!$P$12)*'Formula Calculations (LOCKED)'!J84/'Formula Calculations (LOCKED)'!$J$2))</f>
        <v>#DIV/0!</v>
      </c>
      <c r="M84" s="29" t="e">
        <f>IF('Formula Calculations (LOCKED)'!$G84=1,((0.5*'Sheet 2. County Level Data'!$P$12)*('Formula Calculations (LOCKED)'!K84/'Formula Calculations (LOCKED)'!$K$2))+((0.5*'Sheet 2. County Level Data'!$P$12)*('Formula Calculations (LOCKED)'!N84/'Formula Calculations (LOCKED)'!$N$2)),((0.5*(10000000-'Sheet 2. County Level Data'!$P$12))*('Formula Calculations (LOCKED)'!J84/'Formula Calculations (LOCKED)'!$J$2))+((0.5*(10000000-'Sheet 2. County Level Data'!$P$12))*('Formula Calculations (LOCKED)'!M84/'Formula Calculations (LOCKED)'!$M$2)))</f>
        <v>#DIV/0!</v>
      </c>
      <c r="N84" s="29" t="e">
        <f>IF('Formula Calculations (LOCKED)'!$G84=1,((0.5*'Sheet 2. County Level Data'!$P$12)*('Formula Calculations (LOCKED)'!K84/'Formula Calculations (LOCKED)'!$K$2))+((0.5*'Sheet 2. County Level Data'!$P$12)*('Formula Calculations (LOCKED)'!R84/'Formula Calculations (LOCKED)'!$R$2)),((0.5*(10000000-'Sheet 2. County Level Data'!$P$12))*('Formula Calculations (LOCKED)'!J84/'Formula Calculations (LOCKED)'!$J$2))+((0.5*(10000000-'Sheet 2. County Level Data'!$P$12))*('Formula Calculations (LOCKED)'!Q84/'Formula Calculations (LOCKED)'!$Q$2)))</f>
        <v>#DIV/0!</v>
      </c>
    </row>
    <row r="85" spans="1:14" x14ac:dyDescent="0.2">
      <c r="A85" s="7">
        <f>'Sheet 2. County Level Data'!A83</f>
        <v>0</v>
      </c>
      <c r="B85" s="29" t="e">
        <f>('Formula Calculations (LOCKED)'!C85*'Sheet 2. County Level Data'!$P$4)</f>
        <v>#DIV/0!</v>
      </c>
      <c r="C85" s="29" t="e">
        <f>'Formula Calculations (LOCKED)'!H85/'Formula Calculations (LOCKED)'!$H$2*'Sheet 2. County Level Data'!$P$4</f>
        <v>#DIV/0!</v>
      </c>
      <c r="D85" s="29" t="e">
        <f>('Formula Calculations (LOCKED)'!L85/'Formula Calculations (LOCKED)'!$L$2)*'Sheet 2. County Level Data'!$P$4</f>
        <v>#DIV/0!</v>
      </c>
      <c r="E85" s="29" t="e">
        <f>('Formula Calculations (LOCKED)'!O85/'Formula Calculations (LOCKED)'!$O$2)*'Sheet 2. County Level Data'!$P$4</f>
        <v>#DIV/0!</v>
      </c>
      <c r="F85" s="29" t="e">
        <f>('Formula Calculations (LOCKED)'!D85/'Formula Calculations (LOCKED)'!$D$2)*'Sheet 2. County Level Data'!$P$4</f>
        <v>#DIV/0!</v>
      </c>
      <c r="G85" s="29" t="e">
        <f>'Sheet 2. County Level Data'!$T$11+(0.5*10000000)*'Formula Calculations (LOCKED)'!H85/'Formula Calculations (LOCKED)'!$H$2</f>
        <v>#DIV/0!</v>
      </c>
      <c r="H85" s="29" t="e">
        <f>(0.5*10000000)*'Formula Calculations (LOCKED)'!H85/'Formula Calculations (LOCKED)'!$H$2+(0.5*10000000)*'Formula Calculations (LOCKED)'!D85/'Formula Calculations (LOCKED)'!$D$2</f>
        <v>#DIV/0!</v>
      </c>
      <c r="I85" s="7" t="e">
        <f>'Sheet 2. County Level Data'!$T$12+(0.3333333333*10000000*('Formula Calculations (LOCKED)'!H85/'Formula Calculations (LOCKED)'!$H$2))+(0.3333333333*10000000*('Formula Calculations (LOCKED)'!D85/'Formula Calculations (LOCKED)'!$D$2))</f>
        <v>#DIV/0!</v>
      </c>
      <c r="J85" s="29" t="e">
        <f>'Sheet 2. County Level Data'!$T$13+(0.25*10000000*('Formula Calculations (LOCKED)'!H85/'Formula Calculations (LOCKED)'!$H$2))+(0.25*10000000*('Formula Calculations (LOCKED)'!D85/'Formula Calculations (LOCKED)'!$D$2))+(0.25*10000000*('Formula Calculations (LOCKED)'!L85/'Formula Calculations (LOCKED)'!$L$2))</f>
        <v>#DIV/0!</v>
      </c>
      <c r="K85" s="29" t="e">
        <f>'Sheet 2. County Level Data'!$T$13+(0.25*10000000*('Formula Calculations (LOCKED)'!H85/'Formula Calculations (LOCKED)'!$H$2))+(0.25*10000000*('Formula Calculations (LOCKED)'!D85/'Formula Calculations (LOCKED)'!$D$2))+(0.25*10000000*('Formula Calculations (LOCKED)'!O85/'Formula Calculations (LOCKED)'!$O$2))</f>
        <v>#DIV/0!</v>
      </c>
      <c r="L85" s="29" t="e">
        <f>IF('Formula Calculations (LOCKED)'!$G85=1,('Sheet 2. County Level Data'!$P$12*('Formula Calculations (LOCKED)'!K85/'Formula Calculations (LOCKED)'!$K$2)),((10000000-'Sheet 2. County Level Data'!$P$12)*'Formula Calculations (LOCKED)'!J85/'Formula Calculations (LOCKED)'!$J$2))</f>
        <v>#DIV/0!</v>
      </c>
      <c r="M85" s="29" t="e">
        <f>IF('Formula Calculations (LOCKED)'!$G85=1,((0.5*'Sheet 2. County Level Data'!$P$12)*('Formula Calculations (LOCKED)'!K85/'Formula Calculations (LOCKED)'!$K$2))+((0.5*'Sheet 2. County Level Data'!$P$12)*('Formula Calculations (LOCKED)'!N85/'Formula Calculations (LOCKED)'!$N$2)),((0.5*(10000000-'Sheet 2. County Level Data'!$P$12))*('Formula Calculations (LOCKED)'!J85/'Formula Calculations (LOCKED)'!$J$2))+((0.5*(10000000-'Sheet 2. County Level Data'!$P$12))*('Formula Calculations (LOCKED)'!M85/'Formula Calculations (LOCKED)'!$M$2)))</f>
        <v>#DIV/0!</v>
      </c>
      <c r="N85" s="29" t="e">
        <f>IF('Formula Calculations (LOCKED)'!$G85=1,((0.5*'Sheet 2. County Level Data'!$P$12)*('Formula Calculations (LOCKED)'!K85/'Formula Calculations (LOCKED)'!$K$2))+((0.5*'Sheet 2. County Level Data'!$P$12)*('Formula Calculations (LOCKED)'!R85/'Formula Calculations (LOCKED)'!$R$2)),((0.5*(10000000-'Sheet 2. County Level Data'!$P$12))*('Formula Calculations (LOCKED)'!J85/'Formula Calculations (LOCKED)'!$J$2))+((0.5*(10000000-'Sheet 2. County Level Data'!$P$12))*('Formula Calculations (LOCKED)'!Q85/'Formula Calculations (LOCKED)'!$Q$2)))</f>
        <v>#DIV/0!</v>
      </c>
    </row>
    <row r="86" spans="1:14" x14ac:dyDescent="0.2">
      <c r="A86" s="7">
        <f>'Sheet 2. County Level Data'!A84</f>
        <v>0</v>
      </c>
      <c r="B86" s="29" t="e">
        <f>('Formula Calculations (LOCKED)'!C86*'Sheet 2. County Level Data'!$P$4)</f>
        <v>#DIV/0!</v>
      </c>
      <c r="C86" s="29" t="e">
        <f>'Formula Calculations (LOCKED)'!H86/'Formula Calculations (LOCKED)'!$H$2*'Sheet 2. County Level Data'!$P$4</f>
        <v>#DIV/0!</v>
      </c>
      <c r="D86" s="29" t="e">
        <f>('Formula Calculations (LOCKED)'!L86/'Formula Calculations (LOCKED)'!$L$2)*'Sheet 2. County Level Data'!$P$4</f>
        <v>#DIV/0!</v>
      </c>
      <c r="E86" s="29" t="e">
        <f>('Formula Calculations (LOCKED)'!O86/'Formula Calculations (LOCKED)'!$O$2)*'Sheet 2. County Level Data'!$P$4</f>
        <v>#DIV/0!</v>
      </c>
      <c r="F86" s="29" t="e">
        <f>('Formula Calculations (LOCKED)'!D86/'Formula Calculations (LOCKED)'!$D$2)*'Sheet 2. County Level Data'!$P$4</f>
        <v>#DIV/0!</v>
      </c>
      <c r="G86" s="29" t="e">
        <f>'Sheet 2. County Level Data'!$T$11+(0.5*10000000)*'Formula Calculations (LOCKED)'!H86/'Formula Calculations (LOCKED)'!$H$2</f>
        <v>#DIV/0!</v>
      </c>
      <c r="H86" s="29" t="e">
        <f>(0.5*10000000)*'Formula Calculations (LOCKED)'!H86/'Formula Calculations (LOCKED)'!$H$2+(0.5*10000000)*'Formula Calculations (LOCKED)'!D86/'Formula Calculations (LOCKED)'!$D$2</f>
        <v>#DIV/0!</v>
      </c>
      <c r="I86" s="7" t="e">
        <f>'Sheet 2. County Level Data'!$T$12+(0.3333333333*10000000*('Formula Calculations (LOCKED)'!H86/'Formula Calculations (LOCKED)'!$H$2))+(0.3333333333*10000000*('Formula Calculations (LOCKED)'!D86/'Formula Calculations (LOCKED)'!$D$2))</f>
        <v>#DIV/0!</v>
      </c>
      <c r="J86" s="29" t="e">
        <f>'Sheet 2. County Level Data'!$T$13+(0.25*10000000*('Formula Calculations (LOCKED)'!H86/'Formula Calculations (LOCKED)'!$H$2))+(0.25*10000000*('Formula Calculations (LOCKED)'!D86/'Formula Calculations (LOCKED)'!$D$2))+(0.25*10000000*('Formula Calculations (LOCKED)'!L86/'Formula Calculations (LOCKED)'!$L$2))</f>
        <v>#DIV/0!</v>
      </c>
      <c r="K86" s="29" t="e">
        <f>'Sheet 2. County Level Data'!$T$13+(0.25*10000000*('Formula Calculations (LOCKED)'!H86/'Formula Calculations (LOCKED)'!$H$2))+(0.25*10000000*('Formula Calculations (LOCKED)'!D86/'Formula Calculations (LOCKED)'!$D$2))+(0.25*10000000*('Formula Calculations (LOCKED)'!O86/'Formula Calculations (LOCKED)'!$O$2))</f>
        <v>#DIV/0!</v>
      </c>
      <c r="L86" s="29" t="e">
        <f>IF('Formula Calculations (LOCKED)'!$G86=1,('Sheet 2. County Level Data'!$P$12*('Formula Calculations (LOCKED)'!K86/'Formula Calculations (LOCKED)'!$K$2)),((10000000-'Sheet 2. County Level Data'!$P$12)*'Formula Calculations (LOCKED)'!J86/'Formula Calculations (LOCKED)'!$J$2))</f>
        <v>#DIV/0!</v>
      </c>
      <c r="M86" s="29" t="e">
        <f>IF('Formula Calculations (LOCKED)'!$G86=1,((0.5*'Sheet 2. County Level Data'!$P$12)*('Formula Calculations (LOCKED)'!K86/'Formula Calculations (LOCKED)'!$K$2))+((0.5*'Sheet 2. County Level Data'!$P$12)*('Formula Calculations (LOCKED)'!N86/'Formula Calculations (LOCKED)'!$N$2)),((0.5*(10000000-'Sheet 2. County Level Data'!$P$12))*('Formula Calculations (LOCKED)'!J86/'Formula Calculations (LOCKED)'!$J$2))+((0.5*(10000000-'Sheet 2. County Level Data'!$P$12))*('Formula Calculations (LOCKED)'!M86/'Formula Calculations (LOCKED)'!$M$2)))</f>
        <v>#DIV/0!</v>
      </c>
      <c r="N86" s="29" t="e">
        <f>IF('Formula Calculations (LOCKED)'!$G86=1,((0.5*'Sheet 2. County Level Data'!$P$12)*('Formula Calculations (LOCKED)'!K86/'Formula Calculations (LOCKED)'!$K$2))+((0.5*'Sheet 2. County Level Data'!$P$12)*('Formula Calculations (LOCKED)'!R86/'Formula Calculations (LOCKED)'!$R$2)),((0.5*(10000000-'Sheet 2. County Level Data'!$P$12))*('Formula Calculations (LOCKED)'!J86/'Formula Calculations (LOCKED)'!$J$2))+((0.5*(10000000-'Sheet 2. County Level Data'!$P$12))*('Formula Calculations (LOCKED)'!Q86/'Formula Calculations (LOCKED)'!$Q$2)))</f>
        <v>#DIV/0!</v>
      </c>
    </row>
    <row r="87" spans="1:14" x14ac:dyDescent="0.2">
      <c r="A87" s="7">
        <f>'Sheet 2. County Level Data'!A85</f>
        <v>0</v>
      </c>
      <c r="B87" s="29" t="e">
        <f>('Formula Calculations (LOCKED)'!C87*'Sheet 2. County Level Data'!$P$4)</f>
        <v>#DIV/0!</v>
      </c>
      <c r="C87" s="29" t="e">
        <f>'Formula Calculations (LOCKED)'!H87/'Formula Calculations (LOCKED)'!$H$2*'Sheet 2. County Level Data'!$P$4</f>
        <v>#DIV/0!</v>
      </c>
      <c r="D87" s="29" t="e">
        <f>('Formula Calculations (LOCKED)'!L87/'Formula Calculations (LOCKED)'!$L$2)*'Sheet 2. County Level Data'!$P$4</f>
        <v>#DIV/0!</v>
      </c>
      <c r="E87" s="29" t="e">
        <f>('Formula Calculations (LOCKED)'!O87/'Formula Calculations (LOCKED)'!$O$2)*'Sheet 2. County Level Data'!$P$4</f>
        <v>#DIV/0!</v>
      </c>
      <c r="F87" s="29" t="e">
        <f>('Formula Calculations (LOCKED)'!D87/'Formula Calculations (LOCKED)'!$D$2)*'Sheet 2. County Level Data'!$P$4</f>
        <v>#DIV/0!</v>
      </c>
      <c r="G87" s="29" t="e">
        <f>'Sheet 2. County Level Data'!$T$11+(0.5*10000000)*'Formula Calculations (LOCKED)'!H87/'Formula Calculations (LOCKED)'!$H$2</f>
        <v>#DIV/0!</v>
      </c>
      <c r="H87" s="29" t="e">
        <f>(0.5*10000000)*'Formula Calculations (LOCKED)'!H87/'Formula Calculations (LOCKED)'!$H$2+(0.5*10000000)*'Formula Calculations (LOCKED)'!D87/'Formula Calculations (LOCKED)'!$D$2</f>
        <v>#DIV/0!</v>
      </c>
      <c r="I87" s="7" t="e">
        <f>'Sheet 2. County Level Data'!$T$12+(0.3333333333*10000000*('Formula Calculations (LOCKED)'!H87/'Formula Calculations (LOCKED)'!$H$2))+(0.3333333333*10000000*('Formula Calculations (LOCKED)'!D87/'Formula Calculations (LOCKED)'!$D$2))</f>
        <v>#DIV/0!</v>
      </c>
      <c r="J87" s="29" t="e">
        <f>'Sheet 2. County Level Data'!$T$13+(0.25*10000000*('Formula Calculations (LOCKED)'!H87/'Formula Calculations (LOCKED)'!$H$2))+(0.25*10000000*('Formula Calculations (LOCKED)'!D87/'Formula Calculations (LOCKED)'!$D$2))+(0.25*10000000*('Formula Calculations (LOCKED)'!L87/'Formula Calculations (LOCKED)'!$L$2))</f>
        <v>#DIV/0!</v>
      </c>
      <c r="K87" s="29" t="e">
        <f>'Sheet 2. County Level Data'!$T$13+(0.25*10000000*('Formula Calculations (LOCKED)'!H87/'Formula Calculations (LOCKED)'!$H$2))+(0.25*10000000*('Formula Calculations (LOCKED)'!D87/'Formula Calculations (LOCKED)'!$D$2))+(0.25*10000000*('Formula Calculations (LOCKED)'!O87/'Formula Calculations (LOCKED)'!$O$2))</f>
        <v>#DIV/0!</v>
      </c>
      <c r="L87" s="29" t="e">
        <f>IF('Formula Calculations (LOCKED)'!$G87=1,('Sheet 2. County Level Data'!$P$12*('Formula Calculations (LOCKED)'!K87/'Formula Calculations (LOCKED)'!$K$2)),((10000000-'Sheet 2. County Level Data'!$P$12)*'Formula Calculations (LOCKED)'!J87/'Formula Calculations (LOCKED)'!$J$2))</f>
        <v>#DIV/0!</v>
      </c>
      <c r="M87" s="29" t="e">
        <f>IF('Formula Calculations (LOCKED)'!$G87=1,((0.5*'Sheet 2. County Level Data'!$P$12)*('Formula Calculations (LOCKED)'!K87/'Formula Calculations (LOCKED)'!$K$2))+((0.5*'Sheet 2. County Level Data'!$P$12)*('Formula Calculations (LOCKED)'!N87/'Formula Calculations (LOCKED)'!$N$2)),((0.5*(10000000-'Sheet 2. County Level Data'!$P$12))*('Formula Calculations (LOCKED)'!J87/'Formula Calculations (LOCKED)'!$J$2))+((0.5*(10000000-'Sheet 2. County Level Data'!$P$12))*('Formula Calculations (LOCKED)'!M87/'Formula Calculations (LOCKED)'!$M$2)))</f>
        <v>#DIV/0!</v>
      </c>
      <c r="N87" s="29" t="e">
        <f>IF('Formula Calculations (LOCKED)'!$G87=1,((0.5*'Sheet 2. County Level Data'!$P$12)*('Formula Calculations (LOCKED)'!K87/'Formula Calculations (LOCKED)'!$K$2))+((0.5*'Sheet 2. County Level Data'!$P$12)*('Formula Calculations (LOCKED)'!R87/'Formula Calculations (LOCKED)'!$R$2)),((0.5*(10000000-'Sheet 2. County Level Data'!$P$12))*('Formula Calculations (LOCKED)'!J87/'Formula Calculations (LOCKED)'!$J$2))+((0.5*(10000000-'Sheet 2. County Level Data'!$P$12))*('Formula Calculations (LOCKED)'!Q87/'Formula Calculations (LOCKED)'!$Q$2)))</f>
        <v>#DIV/0!</v>
      </c>
    </row>
    <row r="88" spans="1:14" x14ac:dyDescent="0.2">
      <c r="A88" s="7">
        <f>'Sheet 2. County Level Data'!A86</f>
        <v>0</v>
      </c>
      <c r="B88" s="29" t="e">
        <f>('Formula Calculations (LOCKED)'!C88*'Sheet 2. County Level Data'!$P$4)</f>
        <v>#DIV/0!</v>
      </c>
      <c r="C88" s="29" t="e">
        <f>'Formula Calculations (LOCKED)'!H88/'Formula Calculations (LOCKED)'!$H$2*'Sheet 2. County Level Data'!$P$4</f>
        <v>#DIV/0!</v>
      </c>
      <c r="D88" s="29" t="e">
        <f>('Formula Calculations (LOCKED)'!L88/'Formula Calculations (LOCKED)'!$L$2)*'Sheet 2. County Level Data'!$P$4</f>
        <v>#DIV/0!</v>
      </c>
      <c r="E88" s="29" t="e">
        <f>('Formula Calculations (LOCKED)'!O88/'Formula Calculations (LOCKED)'!$O$2)*'Sheet 2. County Level Data'!$P$4</f>
        <v>#DIV/0!</v>
      </c>
      <c r="F88" s="29" t="e">
        <f>('Formula Calculations (LOCKED)'!D88/'Formula Calculations (LOCKED)'!$D$2)*'Sheet 2. County Level Data'!$P$4</f>
        <v>#DIV/0!</v>
      </c>
      <c r="G88" s="29" t="e">
        <f>'Sheet 2. County Level Data'!$T$11+(0.5*10000000)*'Formula Calculations (LOCKED)'!H88/'Formula Calculations (LOCKED)'!$H$2</f>
        <v>#DIV/0!</v>
      </c>
      <c r="H88" s="29" t="e">
        <f>(0.5*10000000)*'Formula Calculations (LOCKED)'!H88/'Formula Calculations (LOCKED)'!$H$2+(0.5*10000000)*'Formula Calculations (LOCKED)'!D88/'Formula Calculations (LOCKED)'!$D$2</f>
        <v>#DIV/0!</v>
      </c>
      <c r="I88" s="7" t="e">
        <f>'Sheet 2. County Level Data'!$T$12+(0.3333333333*10000000*('Formula Calculations (LOCKED)'!H88/'Formula Calculations (LOCKED)'!$H$2))+(0.3333333333*10000000*('Formula Calculations (LOCKED)'!D88/'Formula Calculations (LOCKED)'!$D$2))</f>
        <v>#DIV/0!</v>
      </c>
      <c r="J88" s="29" t="e">
        <f>'Sheet 2. County Level Data'!$T$13+(0.25*10000000*('Formula Calculations (LOCKED)'!H88/'Formula Calculations (LOCKED)'!$H$2))+(0.25*10000000*('Formula Calculations (LOCKED)'!D88/'Formula Calculations (LOCKED)'!$D$2))+(0.25*10000000*('Formula Calculations (LOCKED)'!L88/'Formula Calculations (LOCKED)'!$L$2))</f>
        <v>#DIV/0!</v>
      </c>
      <c r="K88" s="29" t="e">
        <f>'Sheet 2. County Level Data'!$T$13+(0.25*10000000*('Formula Calculations (LOCKED)'!H88/'Formula Calculations (LOCKED)'!$H$2))+(0.25*10000000*('Formula Calculations (LOCKED)'!D88/'Formula Calculations (LOCKED)'!$D$2))+(0.25*10000000*('Formula Calculations (LOCKED)'!O88/'Formula Calculations (LOCKED)'!$O$2))</f>
        <v>#DIV/0!</v>
      </c>
      <c r="L88" s="29" t="e">
        <f>IF('Formula Calculations (LOCKED)'!$G88=1,('Sheet 2. County Level Data'!$P$12*('Formula Calculations (LOCKED)'!K88/'Formula Calculations (LOCKED)'!$K$2)),((10000000-'Sheet 2. County Level Data'!$P$12)*'Formula Calculations (LOCKED)'!J88/'Formula Calculations (LOCKED)'!$J$2))</f>
        <v>#DIV/0!</v>
      </c>
      <c r="M88" s="29" t="e">
        <f>IF('Formula Calculations (LOCKED)'!$G88=1,((0.5*'Sheet 2. County Level Data'!$P$12)*('Formula Calculations (LOCKED)'!K88/'Formula Calculations (LOCKED)'!$K$2))+((0.5*'Sheet 2. County Level Data'!$P$12)*('Formula Calculations (LOCKED)'!N88/'Formula Calculations (LOCKED)'!$N$2)),((0.5*(10000000-'Sheet 2. County Level Data'!$P$12))*('Formula Calculations (LOCKED)'!J88/'Formula Calculations (LOCKED)'!$J$2))+((0.5*(10000000-'Sheet 2. County Level Data'!$P$12))*('Formula Calculations (LOCKED)'!M88/'Formula Calculations (LOCKED)'!$M$2)))</f>
        <v>#DIV/0!</v>
      </c>
      <c r="N88" s="29" t="e">
        <f>IF('Formula Calculations (LOCKED)'!$G88=1,((0.5*'Sheet 2. County Level Data'!$P$12)*('Formula Calculations (LOCKED)'!K88/'Formula Calculations (LOCKED)'!$K$2))+((0.5*'Sheet 2. County Level Data'!$P$12)*('Formula Calculations (LOCKED)'!R88/'Formula Calculations (LOCKED)'!$R$2)),((0.5*(10000000-'Sheet 2. County Level Data'!$P$12))*('Formula Calculations (LOCKED)'!J88/'Formula Calculations (LOCKED)'!$J$2))+((0.5*(10000000-'Sheet 2. County Level Data'!$P$12))*('Formula Calculations (LOCKED)'!Q88/'Formula Calculations (LOCKED)'!$Q$2)))</f>
        <v>#DIV/0!</v>
      </c>
    </row>
    <row r="89" spans="1:14" x14ac:dyDescent="0.2">
      <c r="A89" s="7">
        <f>'Sheet 2. County Level Data'!A87</f>
        <v>0</v>
      </c>
      <c r="B89" s="29" t="e">
        <f>('Formula Calculations (LOCKED)'!C89*'Sheet 2. County Level Data'!$P$4)</f>
        <v>#DIV/0!</v>
      </c>
      <c r="C89" s="29" t="e">
        <f>'Formula Calculations (LOCKED)'!H89/'Formula Calculations (LOCKED)'!$H$2*'Sheet 2. County Level Data'!$P$4</f>
        <v>#DIV/0!</v>
      </c>
      <c r="D89" s="29" t="e">
        <f>('Formula Calculations (LOCKED)'!L89/'Formula Calculations (LOCKED)'!$L$2)*'Sheet 2. County Level Data'!$P$4</f>
        <v>#DIV/0!</v>
      </c>
      <c r="E89" s="29" t="e">
        <f>('Formula Calculations (LOCKED)'!O89/'Formula Calculations (LOCKED)'!$O$2)*'Sheet 2. County Level Data'!$P$4</f>
        <v>#DIV/0!</v>
      </c>
      <c r="F89" s="29" t="e">
        <f>('Formula Calculations (LOCKED)'!D89/'Formula Calculations (LOCKED)'!$D$2)*'Sheet 2. County Level Data'!$P$4</f>
        <v>#DIV/0!</v>
      </c>
      <c r="G89" s="29" t="e">
        <f>'Sheet 2. County Level Data'!$T$11+(0.5*10000000)*'Formula Calculations (LOCKED)'!H89/'Formula Calculations (LOCKED)'!$H$2</f>
        <v>#DIV/0!</v>
      </c>
      <c r="H89" s="29" t="e">
        <f>(0.5*10000000)*'Formula Calculations (LOCKED)'!H89/'Formula Calculations (LOCKED)'!$H$2+(0.5*10000000)*'Formula Calculations (LOCKED)'!D89/'Formula Calculations (LOCKED)'!$D$2</f>
        <v>#DIV/0!</v>
      </c>
      <c r="I89" s="7" t="e">
        <f>'Sheet 2. County Level Data'!$T$12+(0.3333333333*10000000*('Formula Calculations (LOCKED)'!H89/'Formula Calculations (LOCKED)'!$H$2))+(0.3333333333*10000000*('Formula Calculations (LOCKED)'!D89/'Formula Calculations (LOCKED)'!$D$2))</f>
        <v>#DIV/0!</v>
      </c>
      <c r="J89" s="29" t="e">
        <f>'Sheet 2. County Level Data'!$T$13+(0.25*10000000*('Formula Calculations (LOCKED)'!H89/'Formula Calculations (LOCKED)'!$H$2))+(0.25*10000000*('Formula Calculations (LOCKED)'!D89/'Formula Calculations (LOCKED)'!$D$2))+(0.25*10000000*('Formula Calculations (LOCKED)'!L89/'Formula Calculations (LOCKED)'!$L$2))</f>
        <v>#DIV/0!</v>
      </c>
      <c r="K89" s="29" t="e">
        <f>'Sheet 2. County Level Data'!$T$13+(0.25*10000000*('Formula Calculations (LOCKED)'!H89/'Formula Calculations (LOCKED)'!$H$2))+(0.25*10000000*('Formula Calculations (LOCKED)'!D89/'Formula Calculations (LOCKED)'!$D$2))+(0.25*10000000*('Formula Calculations (LOCKED)'!O89/'Formula Calculations (LOCKED)'!$O$2))</f>
        <v>#DIV/0!</v>
      </c>
      <c r="L89" s="29" t="e">
        <f>IF('Formula Calculations (LOCKED)'!$G89=1,('Sheet 2. County Level Data'!$P$12*('Formula Calculations (LOCKED)'!K89/'Formula Calculations (LOCKED)'!$K$2)),((10000000-'Sheet 2. County Level Data'!$P$12)*'Formula Calculations (LOCKED)'!J89/'Formula Calculations (LOCKED)'!$J$2))</f>
        <v>#DIV/0!</v>
      </c>
      <c r="M89" s="29" t="e">
        <f>IF('Formula Calculations (LOCKED)'!$G89=1,((0.5*'Sheet 2. County Level Data'!$P$12)*('Formula Calculations (LOCKED)'!K89/'Formula Calculations (LOCKED)'!$K$2))+((0.5*'Sheet 2. County Level Data'!$P$12)*('Formula Calculations (LOCKED)'!N89/'Formula Calculations (LOCKED)'!$N$2)),((0.5*(10000000-'Sheet 2. County Level Data'!$P$12))*('Formula Calculations (LOCKED)'!J89/'Formula Calculations (LOCKED)'!$J$2))+((0.5*(10000000-'Sheet 2. County Level Data'!$P$12))*('Formula Calculations (LOCKED)'!M89/'Formula Calculations (LOCKED)'!$M$2)))</f>
        <v>#DIV/0!</v>
      </c>
      <c r="N89" s="29" t="e">
        <f>IF('Formula Calculations (LOCKED)'!$G89=1,((0.5*'Sheet 2. County Level Data'!$P$12)*('Formula Calculations (LOCKED)'!K89/'Formula Calculations (LOCKED)'!$K$2))+((0.5*'Sheet 2. County Level Data'!$P$12)*('Formula Calculations (LOCKED)'!R89/'Formula Calculations (LOCKED)'!$R$2)),((0.5*(10000000-'Sheet 2. County Level Data'!$P$12))*('Formula Calculations (LOCKED)'!J89/'Formula Calculations (LOCKED)'!$J$2))+((0.5*(10000000-'Sheet 2. County Level Data'!$P$12))*('Formula Calculations (LOCKED)'!Q89/'Formula Calculations (LOCKED)'!$Q$2)))</f>
        <v>#DIV/0!</v>
      </c>
    </row>
    <row r="90" spans="1:14" x14ac:dyDescent="0.2">
      <c r="A90" s="7">
        <f>'Sheet 2. County Level Data'!A88</f>
        <v>0</v>
      </c>
      <c r="B90" s="29" t="e">
        <f>('Formula Calculations (LOCKED)'!C90*'Sheet 2. County Level Data'!$P$4)</f>
        <v>#DIV/0!</v>
      </c>
      <c r="C90" s="29" t="e">
        <f>'Formula Calculations (LOCKED)'!H90/'Formula Calculations (LOCKED)'!$H$2*'Sheet 2. County Level Data'!$P$4</f>
        <v>#DIV/0!</v>
      </c>
      <c r="D90" s="29" t="e">
        <f>('Formula Calculations (LOCKED)'!L90/'Formula Calculations (LOCKED)'!$L$2)*'Sheet 2. County Level Data'!$P$4</f>
        <v>#DIV/0!</v>
      </c>
      <c r="E90" s="29" t="e">
        <f>('Formula Calculations (LOCKED)'!O90/'Formula Calculations (LOCKED)'!$O$2)*'Sheet 2. County Level Data'!$P$4</f>
        <v>#DIV/0!</v>
      </c>
      <c r="F90" s="29" t="e">
        <f>('Formula Calculations (LOCKED)'!D90/'Formula Calculations (LOCKED)'!$D$2)*'Sheet 2. County Level Data'!$P$4</f>
        <v>#DIV/0!</v>
      </c>
      <c r="G90" s="29" t="e">
        <f>'Sheet 2. County Level Data'!$T$11+(0.5*10000000)*'Formula Calculations (LOCKED)'!H90/'Formula Calculations (LOCKED)'!$H$2</f>
        <v>#DIV/0!</v>
      </c>
      <c r="H90" s="29" t="e">
        <f>(0.5*10000000)*'Formula Calculations (LOCKED)'!H90/'Formula Calculations (LOCKED)'!$H$2+(0.5*10000000)*'Formula Calculations (LOCKED)'!D90/'Formula Calculations (LOCKED)'!$D$2</f>
        <v>#DIV/0!</v>
      </c>
      <c r="I90" s="7" t="e">
        <f>'Sheet 2. County Level Data'!$T$12+(0.3333333333*10000000*('Formula Calculations (LOCKED)'!H90/'Formula Calculations (LOCKED)'!$H$2))+(0.3333333333*10000000*('Formula Calculations (LOCKED)'!D90/'Formula Calculations (LOCKED)'!$D$2))</f>
        <v>#DIV/0!</v>
      </c>
      <c r="J90" s="29" t="e">
        <f>'Sheet 2. County Level Data'!$T$13+(0.25*10000000*('Formula Calculations (LOCKED)'!H90/'Formula Calculations (LOCKED)'!$H$2))+(0.25*10000000*('Formula Calculations (LOCKED)'!D90/'Formula Calculations (LOCKED)'!$D$2))+(0.25*10000000*('Formula Calculations (LOCKED)'!L90/'Formula Calculations (LOCKED)'!$L$2))</f>
        <v>#DIV/0!</v>
      </c>
      <c r="K90" s="29" t="e">
        <f>'Sheet 2. County Level Data'!$T$13+(0.25*10000000*('Formula Calculations (LOCKED)'!H90/'Formula Calculations (LOCKED)'!$H$2))+(0.25*10000000*('Formula Calculations (LOCKED)'!D90/'Formula Calculations (LOCKED)'!$D$2))+(0.25*10000000*('Formula Calculations (LOCKED)'!O90/'Formula Calculations (LOCKED)'!$O$2))</f>
        <v>#DIV/0!</v>
      </c>
      <c r="L90" s="29" t="e">
        <f>IF('Formula Calculations (LOCKED)'!$G90=1,('Sheet 2. County Level Data'!$P$12*('Formula Calculations (LOCKED)'!K90/'Formula Calculations (LOCKED)'!$K$2)),((10000000-'Sheet 2. County Level Data'!$P$12)*'Formula Calculations (LOCKED)'!J90/'Formula Calculations (LOCKED)'!$J$2))</f>
        <v>#DIV/0!</v>
      </c>
      <c r="M90" s="29" t="e">
        <f>IF('Formula Calculations (LOCKED)'!$G90=1,((0.5*'Sheet 2. County Level Data'!$P$12)*('Formula Calculations (LOCKED)'!K90/'Formula Calculations (LOCKED)'!$K$2))+((0.5*'Sheet 2. County Level Data'!$P$12)*('Formula Calculations (LOCKED)'!N90/'Formula Calculations (LOCKED)'!$N$2)),((0.5*(10000000-'Sheet 2. County Level Data'!$P$12))*('Formula Calculations (LOCKED)'!J90/'Formula Calculations (LOCKED)'!$J$2))+((0.5*(10000000-'Sheet 2. County Level Data'!$P$12))*('Formula Calculations (LOCKED)'!M90/'Formula Calculations (LOCKED)'!$M$2)))</f>
        <v>#DIV/0!</v>
      </c>
      <c r="N90" s="29" t="e">
        <f>IF('Formula Calculations (LOCKED)'!$G90=1,((0.5*'Sheet 2. County Level Data'!$P$12)*('Formula Calculations (LOCKED)'!K90/'Formula Calculations (LOCKED)'!$K$2))+((0.5*'Sheet 2. County Level Data'!$P$12)*('Formula Calculations (LOCKED)'!R90/'Formula Calculations (LOCKED)'!$R$2)),((0.5*(10000000-'Sheet 2. County Level Data'!$P$12))*('Formula Calculations (LOCKED)'!J90/'Formula Calculations (LOCKED)'!$J$2))+((0.5*(10000000-'Sheet 2. County Level Data'!$P$12))*('Formula Calculations (LOCKED)'!Q90/'Formula Calculations (LOCKED)'!$Q$2)))</f>
        <v>#DIV/0!</v>
      </c>
    </row>
    <row r="91" spans="1:14" x14ac:dyDescent="0.2">
      <c r="A91" s="7">
        <f>'Sheet 2. County Level Data'!A89</f>
        <v>0</v>
      </c>
      <c r="B91" s="29" t="e">
        <f>('Formula Calculations (LOCKED)'!C91*'Sheet 2. County Level Data'!$P$4)</f>
        <v>#DIV/0!</v>
      </c>
      <c r="C91" s="29" t="e">
        <f>'Formula Calculations (LOCKED)'!H91/'Formula Calculations (LOCKED)'!$H$2*'Sheet 2. County Level Data'!$P$4</f>
        <v>#DIV/0!</v>
      </c>
      <c r="D91" s="29" t="e">
        <f>('Formula Calculations (LOCKED)'!L91/'Formula Calculations (LOCKED)'!$L$2)*'Sheet 2. County Level Data'!$P$4</f>
        <v>#DIV/0!</v>
      </c>
      <c r="E91" s="29" t="e">
        <f>('Formula Calculations (LOCKED)'!O91/'Formula Calculations (LOCKED)'!$O$2)*'Sheet 2. County Level Data'!$P$4</f>
        <v>#DIV/0!</v>
      </c>
      <c r="F91" s="29" t="e">
        <f>('Formula Calculations (LOCKED)'!D91/'Formula Calculations (LOCKED)'!$D$2)*'Sheet 2. County Level Data'!$P$4</f>
        <v>#DIV/0!</v>
      </c>
      <c r="G91" s="29" t="e">
        <f>'Sheet 2. County Level Data'!$T$11+(0.5*10000000)*'Formula Calculations (LOCKED)'!H91/'Formula Calculations (LOCKED)'!$H$2</f>
        <v>#DIV/0!</v>
      </c>
      <c r="H91" s="29" t="e">
        <f>(0.5*10000000)*'Formula Calculations (LOCKED)'!H91/'Formula Calculations (LOCKED)'!$H$2+(0.5*10000000)*'Formula Calculations (LOCKED)'!D91/'Formula Calculations (LOCKED)'!$D$2</f>
        <v>#DIV/0!</v>
      </c>
      <c r="I91" s="7" t="e">
        <f>'Sheet 2. County Level Data'!$T$12+(0.3333333333*10000000*('Formula Calculations (LOCKED)'!H91/'Formula Calculations (LOCKED)'!$H$2))+(0.3333333333*10000000*('Formula Calculations (LOCKED)'!D91/'Formula Calculations (LOCKED)'!$D$2))</f>
        <v>#DIV/0!</v>
      </c>
      <c r="J91" s="29" t="e">
        <f>'Sheet 2. County Level Data'!$T$13+(0.25*10000000*('Formula Calculations (LOCKED)'!H91/'Formula Calculations (LOCKED)'!$H$2))+(0.25*10000000*('Formula Calculations (LOCKED)'!D91/'Formula Calculations (LOCKED)'!$D$2))+(0.25*10000000*('Formula Calculations (LOCKED)'!L91/'Formula Calculations (LOCKED)'!$L$2))</f>
        <v>#DIV/0!</v>
      </c>
      <c r="K91" s="29" t="e">
        <f>'Sheet 2. County Level Data'!$T$13+(0.25*10000000*('Formula Calculations (LOCKED)'!H91/'Formula Calculations (LOCKED)'!$H$2))+(0.25*10000000*('Formula Calculations (LOCKED)'!D91/'Formula Calculations (LOCKED)'!$D$2))+(0.25*10000000*('Formula Calculations (LOCKED)'!O91/'Formula Calculations (LOCKED)'!$O$2))</f>
        <v>#DIV/0!</v>
      </c>
      <c r="L91" s="29" t="e">
        <f>IF('Formula Calculations (LOCKED)'!$G91=1,('Sheet 2. County Level Data'!$P$12*('Formula Calculations (LOCKED)'!K91/'Formula Calculations (LOCKED)'!$K$2)),((10000000-'Sheet 2. County Level Data'!$P$12)*'Formula Calculations (LOCKED)'!J91/'Formula Calculations (LOCKED)'!$J$2))</f>
        <v>#DIV/0!</v>
      </c>
      <c r="M91" s="29" t="e">
        <f>IF('Formula Calculations (LOCKED)'!$G91=1,((0.5*'Sheet 2. County Level Data'!$P$12)*('Formula Calculations (LOCKED)'!K91/'Formula Calculations (LOCKED)'!$K$2))+((0.5*'Sheet 2. County Level Data'!$P$12)*('Formula Calculations (LOCKED)'!N91/'Formula Calculations (LOCKED)'!$N$2)),((0.5*(10000000-'Sheet 2. County Level Data'!$P$12))*('Formula Calculations (LOCKED)'!J91/'Formula Calculations (LOCKED)'!$J$2))+((0.5*(10000000-'Sheet 2. County Level Data'!$P$12))*('Formula Calculations (LOCKED)'!M91/'Formula Calculations (LOCKED)'!$M$2)))</f>
        <v>#DIV/0!</v>
      </c>
      <c r="N91" s="29" t="e">
        <f>IF('Formula Calculations (LOCKED)'!$G91=1,((0.5*'Sheet 2. County Level Data'!$P$12)*('Formula Calculations (LOCKED)'!K91/'Formula Calculations (LOCKED)'!$K$2))+((0.5*'Sheet 2. County Level Data'!$P$12)*('Formula Calculations (LOCKED)'!R91/'Formula Calculations (LOCKED)'!$R$2)),((0.5*(10000000-'Sheet 2. County Level Data'!$P$12))*('Formula Calculations (LOCKED)'!J91/'Formula Calculations (LOCKED)'!$J$2))+((0.5*(10000000-'Sheet 2. County Level Data'!$P$12))*('Formula Calculations (LOCKED)'!Q91/'Formula Calculations (LOCKED)'!$Q$2)))</f>
        <v>#DIV/0!</v>
      </c>
    </row>
    <row r="92" spans="1:14" x14ac:dyDescent="0.2">
      <c r="A92" s="7">
        <f>'Sheet 2. County Level Data'!A90</f>
        <v>0</v>
      </c>
      <c r="B92" s="29" t="e">
        <f>('Formula Calculations (LOCKED)'!C92*'Sheet 2. County Level Data'!$P$4)</f>
        <v>#DIV/0!</v>
      </c>
      <c r="C92" s="29" t="e">
        <f>'Formula Calculations (LOCKED)'!H92/'Formula Calculations (LOCKED)'!$H$2*'Sheet 2. County Level Data'!$P$4</f>
        <v>#DIV/0!</v>
      </c>
      <c r="D92" s="29" t="e">
        <f>('Formula Calculations (LOCKED)'!L92/'Formula Calculations (LOCKED)'!$L$2)*'Sheet 2. County Level Data'!$P$4</f>
        <v>#DIV/0!</v>
      </c>
      <c r="E92" s="29" t="e">
        <f>('Formula Calculations (LOCKED)'!O92/'Formula Calculations (LOCKED)'!$O$2)*'Sheet 2. County Level Data'!$P$4</f>
        <v>#DIV/0!</v>
      </c>
      <c r="F92" s="29" t="e">
        <f>('Formula Calculations (LOCKED)'!D92/'Formula Calculations (LOCKED)'!$D$2)*'Sheet 2. County Level Data'!$P$4</f>
        <v>#DIV/0!</v>
      </c>
      <c r="G92" s="29" t="e">
        <f>'Sheet 2. County Level Data'!$T$11+(0.5*10000000)*'Formula Calculations (LOCKED)'!H92/'Formula Calculations (LOCKED)'!$H$2</f>
        <v>#DIV/0!</v>
      </c>
      <c r="H92" s="29" t="e">
        <f>(0.5*10000000)*'Formula Calculations (LOCKED)'!H92/'Formula Calculations (LOCKED)'!$H$2+(0.5*10000000)*'Formula Calculations (LOCKED)'!D92/'Formula Calculations (LOCKED)'!$D$2</f>
        <v>#DIV/0!</v>
      </c>
      <c r="I92" s="7" t="e">
        <f>'Sheet 2. County Level Data'!$T$12+(0.3333333333*10000000*('Formula Calculations (LOCKED)'!H92/'Formula Calculations (LOCKED)'!$H$2))+(0.3333333333*10000000*('Formula Calculations (LOCKED)'!D92/'Formula Calculations (LOCKED)'!$D$2))</f>
        <v>#DIV/0!</v>
      </c>
      <c r="J92" s="29" t="e">
        <f>'Sheet 2. County Level Data'!$T$13+(0.25*10000000*('Formula Calculations (LOCKED)'!H92/'Formula Calculations (LOCKED)'!$H$2))+(0.25*10000000*('Formula Calculations (LOCKED)'!D92/'Formula Calculations (LOCKED)'!$D$2))+(0.25*10000000*('Formula Calculations (LOCKED)'!L92/'Formula Calculations (LOCKED)'!$L$2))</f>
        <v>#DIV/0!</v>
      </c>
      <c r="K92" s="29" t="e">
        <f>'Sheet 2. County Level Data'!$T$13+(0.25*10000000*('Formula Calculations (LOCKED)'!H92/'Formula Calculations (LOCKED)'!$H$2))+(0.25*10000000*('Formula Calculations (LOCKED)'!D92/'Formula Calculations (LOCKED)'!$D$2))+(0.25*10000000*('Formula Calculations (LOCKED)'!O92/'Formula Calculations (LOCKED)'!$O$2))</f>
        <v>#DIV/0!</v>
      </c>
      <c r="L92" s="29" t="e">
        <f>IF('Formula Calculations (LOCKED)'!$G92=1,('Sheet 2. County Level Data'!$P$12*('Formula Calculations (LOCKED)'!K92/'Formula Calculations (LOCKED)'!$K$2)),((10000000-'Sheet 2. County Level Data'!$P$12)*'Formula Calculations (LOCKED)'!J92/'Formula Calculations (LOCKED)'!$J$2))</f>
        <v>#DIV/0!</v>
      </c>
      <c r="M92" s="29" t="e">
        <f>IF('Formula Calculations (LOCKED)'!$G92=1,((0.5*'Sheet 2. County Level Data'!$P$12)*('Formula Calculations (LOCKED)'!K92/'Formula Calculations (LOCKED)'!$K$2))+((0.5*'Sheet 2. County Level Data'!$P$12)*('Formula Calculations (LOCKED)'!N92/'Formula Calculations (LOCKED)'!$N$2)),((0.5*(10000000-'Sheet 2. County Level Data'!$P$12))*('Formula Calculations (LOCKED)'!J92/'Formula Calculations (LOCKED)'!$J$2))+((0.5*(10000000-'Sheet 2. County Level Data'!$P$12))*('Formula Calculations (LOCKED)'!M92/'Formula Calculations (LOCKED)'!$M$2)))</f>
        <v>#DIV/0!</v>
      </c>
      <c r="N92" s="29" t="e">
        <f>IF('Formula Calculations (LOCKED)'!$G92=1,((0.5*'Sheet 2. County Level Data'!$P$12)*('Formula Calculations (LOCKED)'!K92/'Formula Calculations (LOCKED)'!$K$2))+((0.5*'Sheet 2. County Level Data'!$P$12)*('Formula Calculations (LOCKED)'!R92/'Formula Calculations (LOCKED)'!$R$2)),((0.5*(10000000-'Sheet 2. County Level Data'!$P$12))*('Formula Calculations (LOCKED)'!J92/'Formula Calculations (LOCKED)'!$J$2))+((0.5*(10000000-'Sheet 2. County Level Data'!$P$12))*('Formula Calculations (LOCKED)'!Q92/'Formula Calculations (LOCKED)'!$Q$2)))</f>
        <v>#DIV/0!</v>
      </c>
    </row>
    <row r="93" spans="1:14" x14ac:dyDescent="0.2">
      <c r="A93" s="7">
        <f>'Sheet 2. County Level Data'!A91</f>
        <v>0</v>
      </c>
      <c r="B93" s="29" t="e">
        <f>('Formula Calculations (LOCKED)'!C93*'Sheet 2. County Level Data'!$P$4)</f>
        <v>#DIV/0!</v>
      </c>
      <c r="C93" s="29" t="e">
        <f>'Formula Calculations (LOCKED)'!H93/'Formula Calculations (LOCKED)'!$H$2*'Sheet 2. County Level Data'!$P$4</f>
        <v>#DIV/0!</v>
      </c>
      <c r="D93" s="29" t="e">
        <f>('Formula Calculations (LOCKED)'!L93/'Formula Calculations (LOCKED)'!$L$2)*'Sheet 2. County Level Data'!$P$4</f>
        <v>#DIV/0!</v>
      </c>
      <c r="E93" s="29" t="e">
        <f>('Formula Calculations (LOCKED)'!O93/'Formula Calculations (LOCKED)'!$O$2)*'Sheet 2. County Level Data'!$P$4</f>
        <v>#DIV/0!</v>
      </c>
      <c r="F93" s="29" t="e">
        <f>('Formula Calculations (LOCKED)'!D93/'Formula Calculations (LOCKED)'!$D$2)*'Sheet 2. County Level Data'!$P$4</f>
        <v>#DIV/0!</v>
      </c>
      <c r="G93" s="29" t="e">
        <f>'Sheet 2. County Level Data'!$T$11+(0.5*10000000)*'Formula Calculations (LOCKED)'!H93/'Formula Calculations (LOCKED)'!$H$2</f>
        <v>#DIV/0!</v>
      </c>
      <c r="H93" s="29" t="e">
        <f>(0.5*10000000)*'Formula Calculations (LOCKED)'!H93/'Formula Calculations (LOCKED)'!$H$2+(0.5*10000000)*'Formula Calculations (LOCKED)'!D93/'Formula Calculations (LOCKED)'!$D$2</f>
        <v>#DIV/0!</v>
      </c>
      <c r="I93" s="7" t="e">
        <f>'Sheet 2. County Level Data'!$T$12+(0.3333333333*10000000*('Formula Calculations (LOCKED)'!H93/'Formula Calculations (LOCKED)'!$H$2))+(0.3333333333*10000000*('Formula Calculations (LOCKED)'!D93/'Formula Calculations (LOCKED)'!$D$2))</f>
        <v>#DIV/0!</v>
      </c>
      <c r="J93" s="29" t="e">
        <f>'Sheet 2. County Level Data'!$T$13+(0.25*10000000*('Formula Calculations (LOCKED)'!H93/'Formula Calculations (LOCKED)'!$H$2))+(0.25*10000000*('Formula Calculations (LOCKED)'!D93/'Formula Calculations (LOCKED)'!$D$2))+(0.25*10000000*('Formula Calculations (LOCKED)'!L93/'Formula Calculations (LOCKED)'!$L$2))</f>
        <v>#DIV/0!</v>
      </c>
      <c r="K93" s="29" t="e">
        <f>'Sheet 2. County Level Data'!$T$13+(0.25*10000000*('Formula Calculations (LOCKED)'!H93/'Formula Calculations (LOCKED)'!$H$2))+(0.25*10000000*('Formula Calculations (LOCKED)'!D93/'Formula Calculations (LOCKED)'!$D$2))+(0.25*10000000*('Formula Calculations (LOCKED)'!O93/'Formula Calculations (LOCKED)'!$O$2))</f>
        <v>#DIV/0!</v>
      </c>
      <c r="L93" s="29" t="e">
        <f>IF('Formula Calculations (LOCKED)'!$G93=1,('Sheet 2. County Level Data'!$P$12*('Formula Calculations (LOCKED)'!K93/'Formula Calculations (LOCKED)'!$K$2)),((10000000-'Sheet 2. County Level Data'!$P$12)*'Formula Calculations (LOCKED)'!J93/'Formula Calculations (LOCKED)'!$J$2))</f>
        <v>#DIV/0!</v>
      </c>
      <c r="M93" s="29" t="e">
        <f>IF('Formula Calculations (LOCKED)'!$G93=1,((0.5*'Sheet 2. County Level Data'!$P$12)*('Formula Calculations (LOCKED)'!K93/'Formula Calculations (LOCKED)'!$K$2))+((0.5*'Sheet 2. County Level Data'!$P$12)*('Formula Calculations (LOCKED)'!N93/'Formula Calculations (LOCKED)'!$N$2)),((0.5*(10000000-'Sheet 2. County Level Data'!$P$12))*('Formula Calculations (LOCKED)'!J93/'Formula Calculations (LOCKED)'!$J$2))+((0.5*(10000000-'Sheet 2. County Level Data'!$P$12))*('Formula Calculations (LOCKED)'!M93/'Formula Calculations (LOCKED)'!$M$2)))</f>
        <v>#DIV/0!</v>
      </c>
      <c r="N93" s="29" t="e">
        <f>IF('Formula Calculations (LOCKED)'!$G93=1,((0.5*'Sheet 2. County Level Data'!$P$12)*('Formula Calculations (LOCKED)'!K93/'Formula Calculations (LOCKED)'!$K$2))+((0.5*'Sheet 2. County Level Data'!$P$12)*('Formula Calculations (LOCKED)'!R93/'Formula Calculations (LOCKED)'!$R$2)),((0.5*(10000000-'Sheet 2. County Level Data'!$P$12))*('Formula Calculations (LOCKED)'!J93/'Formula Calculations (LOCKED)'!$J$2))+((0.5*(10000000-'Sheet 2. County Level Data'!$P$12))*('Formula Calculations (LOCKED)'!Q93/'Formula Calculations (LOCKED)'!$Q$2)))</f>
        <v>#DIV/0!</v>
      </c>
    </row>
    <row r="94" spans="1:14" x14ac:dyDescent="0.2">
      <c r="A94" s="7">
        <f>'Sheet 2. County Level Data'!A92</f>
        <v>0</v>
      </c>
      <c r="B94" s="29" t="e">
        <f>('Formula Calculations (LOCKED)'!C94*'Sheet 2. County Level Data'!$P$4)</f>
        <v>#DIV/0!</v>
      </c>
      <c r="C94" s="29" t="e">
        <f>'Formula Calculations (LOCKED)'!H94/'Formula Calculations (LOCKED)'!$H$2*'Sheet 2. County Level Data'!$P$4</f>
        <v>#DIV/0!</v>
      </c>
      <c r="D94" s="29" t="e">
        <f>('Formula Calculations (LOCKED)'!L94/'Formula Calculations (LOCKED)'!$L$2)*'Sheet 2. County Level Data'!$P$4</f>
        <v>#DIV/0!</v>
      </c>
      <c r="E94" s="29" t="e">
        <f>('Formula Calculations (LOCKED)'!O94/'Formula Calculations (LOCKED)'!$O$2)*'Sheet 2. County Level Data'!$P$4</f>
        <v>#DIV/0!</v>
      </c>
      <c r="F94" s="29" t="e">
        <f>('Formula Calculations (LOCKED)'!D94/'Formula Calculations (LOCKED)'!$D$2)*'Sheet 2. County Level Data'!$P$4</f>
        <v>#DIV/0!</v>
      </c>
      <c r="G94" s="29" t="e">
        <f>'Sheet 2. County Level Data'!$T$11+(0.5*10000000)*'Formula Calculations (LOCKED)'!H94/'Formula Calculations (LOCKED)'!$H$2</f>
        <v>#DIV/0!</v>
      </c>
      <c r="H94" s="29" t="e">
        <f>(0.5*10000000)*'Formula Calculations (LOCKED)'!H94/'Formula Calculations (LOCKED)'!$H$2+(0.5*10000000)*'Formula Calculations (LOCKED)'!D94/'Formula Calculations (LOCKED)'!$D$2</f>
        <v>#DIV/0!</v>
      </c>
      <c r="I94" s="7" t="e">
        <f>'Sheet 2. County Level Data'!$T$12+(0.3333333333*10000000*('Formula Calculations (LOCKED)'!H94/'Formula Calculations (LOCKED)'!$H$2))+(0.3333333333*10000000*('Formula Calculations (LOCKED)'!D94/'Formula Calculations (LOCKED)'!$D$2))</f>
        <v>#DIV/0!</v>
      </c>
      <c r="J94" s="29" t="e">
        <f>'Sheet 2. County Level Data'!$T$13+(0.25*10000000*('Formula Calculations (LOCKED)'!H94/'Formula Calculations (LOCKED)'!$H$2))+(0.25*10000000*('Formula Calculations (LOCKED)'!D94/'Formula Calculations (LOCKED)'!$D$2))+(0.25*10000000*('Formula Calculations (LOCKED)'!L94/'Formula Calculations (LOCKED)'!$L$2))</f>
        <v>#DIV/0!</v>
      </c>
      <c r="K94" s="29" t="e">
        <f>'Sheet 2. County Level Data'!$T$13+(0.25*10000000*('Formula Calculations (LOCKED)'!H94/'Formula Calculations (LOCKED)'!$H$2))+(0.25*10000000*('Formula Calculations (LOCKED)'!D94/'Formula Calculations (LOCKED)'!$D$2))+(0.25*10000000*('Formula Calculations (LOCKED)'!O94/'Formula Calculations (LOCKED)'!$O$2))</f>
        <v>#DIV/0!</v>
      </c>
      <c r="L94" s="29" t="e">
        <f>IF('Formula Calculations (LOCKED)'!$G94=1,('Sheet 2. County Level Data'!$P$12*('Formula Calculations (LOCKED)'!K94/'Formula Calculations (LOCKED)'!$K$2)),((10000000-'Sheet 2. County Level Data'!$P$12)*'Formula Calculations (LOCKED)'!J94/'Formula Calculations (LOCKED)'!$J$2))</f>
        <v>#DIV/0!</v>
      </c>
      <c r="M94" s="29" t="e">
        <f>IF('Formula Calculations (LOCKED)'!$G94=1,((0.5*'Sheet 2. County Level Data'!$P$12)*('Formula Calculations (LOCKED)'!K94/'Formula Calculations (LOCKED)'!$K$2))+((0.5*'Sheet 2. County Level Data'!$P$12)*('Formula Calculations (LOCKED)'!N94/'Formula Calculations (LOCKED)'!$N$2)),((0.5*(10000000-'Sheet 2. County Level Data'!$P$12))*('Formula Calculations (LOCKED)'!J94/'Formula Calculations (LOCKED)'!$J$2))+((0.5*(10000000-'Sheet 2. County Level Data'!$P$12))*('Formula Calculations (LOCKED)'!M94/'Formula Calculations (LOCKED)'!$M$2)))</f>
        <v>#DIV/0!</v>
      </c>
      <c r="N94" s="29" t="e">
        <f>IF('Formula Calculations (LOCKED)'!$G94=1,((0.5*'Sheet 2. County Level Data'!$P$12)*('Formula Calculations (LOCKED)'!K94/'Formula Calculations (LOCKED)'!$K$2))+((0.5*'Sheet 2. County Level Data'!$P$12)*('Formula Calculations (LOCKED)'!R94/'Formula Calculations (LOCKED)'!$R$2)),((0.5*(10000000-'Sheet 2. County Level Data'!$P$12))*('Formula Calculations (LOCKED)'!J94/'Formula Calculations (LOCKED)'!$J$2))+((0.5*(10000000-'Sheet 2. County Level Data'!$P$12))*('Formula Calculations (LOCKED)'!Q94/'Formula Calculations (LOCKED)'!$Q$2)))</f>
        <v>#DIV/0!</v>
      </c>
    </row>
    <row r="95" spans="1:14" x14ac:dyDescent="0.2">
      <c r="A95" s="7">
        <f>'Sheet 2. County Level Data'!A93</f>
        <v>0</v>
      </c>
      <c r="B95" s="29" t="e">
        <f>('Formula Calculations (LOCKED)'!C95*'Sheet 2. County Level Data'!$P$4)</f>
        <v>#DIV/0!</v>
      </c>
      <c r="C95" s="29" t="e">
        <f>'Formula Calculations (LOCKED)'!H95/'Formula Calculations (LOCKED)'!$H$2*'Sheet 2. County Level Data'!$P$4</f>
        <v>#DIV/0!</v>
      </c>
      <c r="D95" s="29" t="e">
        <f>('Formula Calculations (LOCKED)'!L95/'Formula Calculations (LOCKED)'!$L$2)*'Sheet 2. County Level Data'!$P$4</f>
        <v>#DIV/0!</v>
      </c>
      <c r="E95" s="29" t="e">
        <f>('Formula Calculations (LOCKED)'!O95/'Formula Calculations (LOCKED)'!$O$2)*'Sheet 2. County Level Data'!$P$4</f>
        <v>#DIV/0!</v>
      </c>
      <c r="F95" s="29" t="e">
        <f>('Formula Calculations (LOCKED)'!D95/'Formula Calculations (LOCKED)'!$D$2)*'Sheet 2. County Level Data'!$P$4</f>
        <v>#DIV/0!</v>
      </c>
      <c r="G95" s="29" t="e">
        <f>'Sheet 2. County Level Data'!$T$11+(0.5*10000000)*'Formula Calculations (LOCKED)'!H95/'Formula Calculations (LOCKED)'!$H$2</f>
        <v>#DIV/0!</v>
      </c>
      <c r="H95" s="29" t="e">
        <f>(0.5*10000000)*'Formula Calculations (LOCKED)'!H95/'Formula Calculations (LOCKED)'!$H$2+(0.5*10000000)*'Formula Calculations (LOCKED)'!D95/'Formula Calculations (LOCKED)'!$D$2</f>
        <v>#DIV/0!</v>
      </c>
      <c r="I95" s="7" t="e">
        <f>'Sheet 2. County Level Data'!$T$12+(0.3333333333*10000000*('Formula Calculations (LOCKED)'!H95/'Formula Calculations (LOCKED)'!$H$2))+(0.3333333333*10000000*('Formula Calculations (LOCKED)'!D95/'Formula Calculations (LOCKED)'!$D$2))</f>
        <v>#DIV/0!</v>
      </c>
      <c r="J95" s="29" t="e">
        <f>'Sheet 2. County Level Data'!$T$13+(0.25*10000000*('Formula Calculations (LOCKED)'!H95/'Formula Calculations (LOCKED)'!$H$2))+(0.25*10000000*('Formula Calculations (LOCKED)'!D95/'Formula Calculations (LOCKED)'!$D$2))+(0.25*10000000*('Formula Calculations (LOCKED)'!L95/'Formula Calculations (LOCKED)'!$L$2))</f>
        <v>#DIV/0!</v>
      </c>
      <c r="K95" s="29" t="e">
        <f>'Sheet 2. County Level Data'!$T$13+(0.25*10000000*('Formula Calculations (LOCKED)'!H95/'Formula Calculations (LOCKED)'!$H$2))+(0.25*10000000*('Formula Calculations (LOCKED)'!D95/'Formula Calculations (LOCKED)'!$D$2))+(0.25*10000000*('Formula Calculations (LOCKED)'!O95/'Formula Calculations (LOCKED)'!$O$2))</f>
        <v>#DIV/0!</v>
      </c>
      <c r="L95" s="29" t="e">
        <f>IF('Formula Calculations (LOCKED)'!$G95=1,('Sheet 2. County Level Data'!$P$12*('Formula Calculations (LOCKED)'!K95/'Formula Calculations (LOCKED)'!$K$2)),((10000000-'Sheet 2. County Level Data'!$P$12)*'Formula Calculations (LOCKED)'!J95/'Formula Calculations (LOCKED)'!$J$2))</f>
        <v>#DIV/0!</v>
      </c>
      <c r="M95" s="29" t="e">
        <f>IF('Formula Calculations (LOCKED)'!$G95=1,((0.5*'Sheet 2. County Level Data'!$P$12)*('Formula Calculations (LOCKED)'!K95/'Formula Calculations (LOCKED)'!$K$2))+((0.5*'Sheet 2. County Level Data'!$P$12)*('Formula Calculations (LOCKED)'!N95/'Formula Calculations (LOCKED)'!$N$2)),((0.5*(10000000-'Sheet 2. County Level Data'!$P$12))*('Formula Calculations (LOCKED)'!J95/'Formula Calculations (LOCKED)'!$J$2))+((0.5*(10000000-'Sheet 2. County Level Data'!$P$12))*('Formula Calculations (LOCKED)'!M95/'Formula Calculations (LOCKED)'!$M$2)))</f>
        <v>#DIV/0!</v>
      </c>
      <c r="N95" s="29" t="e">
        <f>IF('Formula Calculations (LOCKED)'!$G95=1,((0.5*'Sheet 2. County Level Data'!$P$12)*('Formula Calculations (LOCKED)'!K95/'Formula Calculations (LOCKED)'!$K$2))+((0.5*'Sheet 2. County Level Data'!$P$12)*('Formula Calculations (LOCKED)'!R95/'Formula Calculations (LOCKED)'!$R$2)),((0.5*(10000000-'Sheet 2. County Level Data'!$P$12))*('Formula Calculations (LOCKED)'!J95/'Formula Calculations (LOCKED)'!$J$2))+((0.5*(10000000-'Sheet 2. County Level Data'!$P$12))*('Formula Calculations (LOCKED)'!Q95/'Formula Calculations (LOCKED)'!$Q$2)))</f>
        <v>#DIV/0!</v>
      </c>
    </row>
    <row r="96" spans="1:14" x14ac:dyDescent="0.2">
      <c r="A96" s="7">
        <f>'Sheet 2. County Level Data'!A94</f>
        <v>0</v>
      </c>
      <c r="B96" s="29" t="e">
        <f>('Formula Calculations (LOCKED)'!C96*'Sheet 2. County Level Data'!$P$4)</f>
        <v>#DIV/0!</v>
      </c>
      <c r="C96" s="29" t="e">
        <f>'Formula Calculations (LOCKED)'!H96/'Formula Calculations (LOCKED)'!$H$2*'Sheet 2. County Level Data'!$P$4</f>
        <v>#DIV/0!</v>
      </c>
      <c r="D96" s="29" t="e">
        <f>('Formula Calculations (LOCKED)'!L96/'Formula Calculations (LOCKED)'!$L$2)*'Sheet 2. County Level Data'!$P$4</f>
        <v>#DIV/0!</v>
      </c>
      <c r="E96" s="29" t="e">
        <f>('Formula Calculations (LOCKED)'!O96/'Formula Calculations (LOCKED)'!$O$2)*'Sheet 2. County Level Data'!$P$4</f>
        <v>#DIV/0!</v>
      </c>
      <c r="F96" s="29" t="e">
        <f>('Formula Calculations (LOCKED)'!D96/'Formula Calculations (LOCKED)'!$D$2)*'Sheet 2. County Level Data'!$P$4</f>
        <v>#DIV/0!</v>
      </c>
      <c r="G96" s="29" t="e">
        <f>'Sheet 2. County Level Data'!$T$11+(0.5*10000000)*'Formula Calculations (LOCKED)'!H96/'Formula Calculations (LOCKED)'!$H$2</f>
        <v>#DIV/0!</v>
      </c>
      <c r="H96" s="29" t="e">
        <f>(0.5*10000000)*'Formula Calculations (LOCKED)'!H96/'Formula Calculations (LOCKED)'!$H$2+(0.5*10000000)*'Formula Calculations (LOCKED)'!D96/'Formula Calculations (LOCKED)'!$D$2</f>
        <v>#DIV/0!</v>
      </c>
      <c r="I96" s="7" t="e">
        <f>'Sheet 2. County Level Data'!$T$12+(0.3333333333*10000000*('Formula Calculations (LOCKED)'!H96/'Formula Calculations (LOCKED)'!$H$2))+(0.3333333333*10000000*('Formula Calculations (LOCKED)'!D96/'Formula Calculations (LOCKED)'!$D$2))</f>
        <v>#DIV/0!</v>
      </c>
      <c r="J96" s="29" t="e">
        <f>'Sheet 2. County Level Data'!$T$13+(0.25*10000000*('Formula Calculations (LOCKED)'!H96/'Formula Calculations (LOCKED)'!$H$2))+(0.25*10000000*('Formula Calculations (LOCKED)'!D96/'Formula Calculations (LOCKED)'!$D$2))+(0.25*10000000*('Formula Calculations (LOCKED)'!L96/'Formula Calculations (LOCKED)'!$L$2))</f>
        <v>#DIV/0!</v>
      </c>
      <c r="K96" s="29" t="e">
        <f>'Sheet 2. County Level Data'!$T$13+(0.25*10000000*('Formula Calculations (LOCKED)'!H96/'Formula Calculations (LOCKED)'!$H$2))+(0.25*10000000*('Formula Calculations (LOCKED)'!D96/'Formula Calculations (LOCKED)'!$D$2))+(0.25*10000000*('Formula Calculations (LOCKED)'!O96/'Formula Calculations (LOCKED)'!$O$2))</f>
        <v>#DIV/0!</v>
      </c>
      <c r="L96" s="29" t="e">
        <f>IF('Formula Calculations (LOCKED)'!$G96=1,('Sheet 2. County Level Data'!$P$12*('Formula Calculations (LOCKED)'!K96/'Formula Calculations (LOCKED)'!$K$2)),((10000000-'Sheet 2. County Level Data'!$P$12)*'Formula Calculations (LOCKED)'!J96/'Formula Calculations (LOCKED)'!$J$2))</f>
        <v>#DIV/0!</v>
      </c>
      <c r="M96" s="29" t="e">
        <f>IF('Formula Calculations (LOCKED)'!$G96=1,((0.5*'Sheet 2. County Level Data'!$P$12)*('Formula Calculations (LOCKED)'!K96/'Formula Calculations (LOCKED)'!$K$2))+((0.5*'Sheet 2. County Level Data'!$P$12)*('Formula Calculations (LOCKED)'!N96/'Formula Calculations (LOCKED)'!$N$2)),((0.5*(10000000-'Sheet 2. County Level Data'!$P$12))*('Formula Calculations (LOCKED)'!J96/'Formula Calculations (LOCKED)'!$J$2))+((0.5*(10000000-'Sheet 2. County Level Data'!$P$12))*('Formula Calculations (LOCKED)'!M96/'Formula Calculations (LOCKED)'!$M$2)))</f>
        <v>#DIV/0!</v>
      </c>
      <c r="N96" s="29" t="e">
        <f>IF('Formula Calculations (LOCKED)'!$G96=1,((0.5*'Sheet 2. County Level Data'!$P$12)*('Formula Calculations (LOCKED)'!K96/'Formula Calculations (LOCKED)'!$K$2))+((0.5*'Sheet 2. County Level Data'!$P$12)*('Formula Calculations (LOCKED)'!R96/'Formula Calculations (LOCKED)'!$R$2)),((0.5*(10000000-'Sheet 2. County Level Data'!$P$12))*('Formula Calculations (LOCKED)'!J96/'Formula Calculations (LOCKED)'!$J$2))+((0.5*(10000000-'Sheet 2. County Level Data'!$P$12))*('Formula Calculations (LOCKED)'!Q96/'Formula Calculations (LOCKED)'!$Q$2)))</f>
        <v>#DIV/0!</v>
      </c>
    </row>
    <row r="97" spans="1:14" x14ac:dyDescent="0.2">
      <c r="A97" s="7">
        <f>'Sheet 2. County Level Data'!A95</f>
        <v>0</v>
      </c>
      <c r="B97" s="29" t="e">
        <f>('Formula Calculations (LOCKED)'!C97*'Sheet 2. County Level Data'!$P$4)</f>
        <v>#DIV/0!</v>
      </c>
      <c r="C97" s="29" t="e">
        <f>'Formula Calculations (LOCKED)'!H97/'Formula Calculations (LOCKED)'!$H$2*'Sheet 2. County Level Data'!$P$4</f>
        <v>#DIV/0!</v>
      </c>
      <c r="D97" s="29" t="e">
        <f>('Formula Calculations (LOCKED)'!L97/'Formula Calculations (LOCKED)'!$L$2)*'Sheet 2. County Level Data'!$P$4</f>
        <v>#DIV/0!</v>
      </c>
      <c r="E97" s="29" t="e">
        <f>('Formula Calculations (LOCKED)'!O97/'Formula Calculations (LOCKED)'!$O$2)*'Sheet 2. County Level Data'!$P$4</f>
        <v>#DIV/0!</v>
      </c>
      <c r="F97" s="29" t="e">
        <f>('Formula Calculations (LOCKED)'!D97/'Formula Calculations (LOCKED)'!$D$2)*'Sheet 2. County Level Data'!$P$4</f>
        <v>#DIV/0!</v>
      </c>
      <c r="G97" s="29" t="e">
        <f>'Sheet 2. County Level Data'!$T$11+(0.5*10000000)*'Formula Calculations (LOCKED)'!H97/'Formula Calculations (LOCKED)'!$H$2</f>
        <v>#DIV/0!</v>
      </c>
      <c r="H97" s="29" t="e">
        <f>(0.5*10000000)*'Formula Calculations (LOCKED)'!H97/'Formula Calculations (LOCKED)'!$H$2+(0.5*10000000)*'Formula Calculations (LOCKED)'!D97/'Formula Calculations (LOCKED)'!$D$2</f>
        <v>#DIV/0!</v>
      </c>
      <c r="I97" s="7" t="e">
        <f>'Sheet 2. County Level Data'!$T$12+(0.3333333333*10000000*('Formula Calculations (LOCKED)'!H97/'Formula Calculations (LOCKED)'!$H$2))+(0.3333333333*10000000*('Formula Calculations (LOCKED)'!D97/'Formula Calculations (LOCKED)'!$D$2))</f>
        <v>#DIV/0!</v>
      </c>
      <c r="J97" s="29" t="e">
        <f>'Sheet 2. County Level Data'!$T$13+(0.25*10000000*('Formula Calculations (LOCKED)'!H97/'Formula Calculations (LOCKED)'!$H$2))+(0.25*10000000*('Formula Calculations (LOCKED)'!D97/'Formula Calculations (LOCKED)'!$D$2))+(0.25*10000000*('Formula Calculations (LOCKED)'!L97/'Formula Calculations (LOCKED)'!$L$2))</f>
        <v>#DIV/0!</v>
      </c>
      <c r="K97" s="29" t="e">
        <f>'Sheet 2. County Level Data'!$T$13+(0.25*10000000*('Formula Calculations (LOCKED)'!H97/'Formula Calculations (LOCKED)'!$H$2))+(0.25*10000000*('Formula Calculations (LOCKED)'!D97/'Formula Calculations (LOCKED)'!$D$2))+(0.25*10000000*('Formula Calculations (LOCKED)'!O97/'Formula Calculations (LOCKED)'!$O$2))</f>
        <v>#DIV/0!</v>
      </c>
      <c r="L97" s="29" t="e">
        <f>IF('Formula Calculations (LOCKED)'!$G97=1,('Sheet 2. County Level Data'!$P$12*('Formula Calculations (LOCKED)'!K97/'Formula Calculations (LOCKED)'!$K$2)),((10000000-'Sheet 2. County Level Data'!$P$12)*'Formula Calculations (LOCKED)'!J97/'Formula Calculations (LOCKED)'!$J$2))</f>
        <v>#DIV/0!</v>
      </c>
      <c r="M97" s="29" t="e">
        <f>IF('Formula Calculations (LOCKED)'!$G97=1,((0.5*'Sheet 2. County Level Data'!$P$12)*('Formula Calculations (LOCKED)'!K97/'Formula Calculations (LOCKED)'!$K$2))+((0.5*'Sheet 2. County Level Data'!$P$12)*('Formula Calculations (LOCKED)'!N97/'Formula Calculations (LOCKED)'!$N$2)),((0.5*(10000000-'Sheet 2. County Level Data'!$P$12))*('Formula Calculations (LOCKED)'!J97/'Formula Calculations (LOCKED)'!$J$2))+((0.5*(10000000-'Sheet 2. County Level Data'!$P$12))*('Formula Calculations (LOCKED)'!M97/'Formula Calculations (LOCKED)'!$M$2)))</f>
        <v>#DIV/0!</v>
      </c>
      <c r="N97" s="29" t="e">
        <f>IF('Formula Calculations (LOCKED)'!$G97=1,((0.5*'Sheet 2. County Level Data'!$P$12)*('Formula Calculations (LOCKED)'!K97/'Formula Calculations (LOCKED)'!$K$2))+((0.5*'Sheet 2. County Level Data'!$P$12)*('Formula Calculations (LOCKED)'!R97/'Formula Calculations (LOCKED)'!$R$2)),((0.5*(10000000-'Sheet 2. County Level Data'!$P$12))*('Formula Calculations (LOCKED)'!J97/'Formula Calculations (LOCKED)'!$J$2))+((0.5*(10000000-'Sheet 2. County Level Data'!$P$12))*('Formula Calculations (LOCKED)'!Q97/'Formula Calculations (LOCKED)'!$Q$2)))</f>
        <v>#DIV/0!</v>
      </c>
    </row>
    <row r="98" spans="1:14" x14ac:dyDescent="0.2">
      <c r="A98" s="7">
        <f>'Sheet 2. County Level Data'!A96</f>
        <v>0</v>
      </c>
      <c r="B98" s="29" t="e">
        <f>('Formula Calculations (LOCKED)'!C98*'Sheet 2. County Level Data'!$P$4)</f>
        <v>#DIV/0!</v>
      </c>
      <c r="C98" s="29" t="e">
        <f>'Formula Calculations (LOCKED)'!H98/'Formula Calculations (LOCKED)'!$H$2*'Sheet 2. County Level Data'!$P$4</f>
        <v>#DIV/0!</v>
      </c>
      <c r="D98" s="29" t="e">
        <f>('Formula Calculations (LOCKED)'!L98/'Formula Calculations (LOCKED)'!$L$2)*'Sheet 2. County Level Data'!$P$4</f>
        <v>#DIV/0!</v>
      </c>
      <c r="E98" s="29" t="e">
        <f>('Formula Calculations (LOCKED)'!O98/'Formula Calculations (LOCKED)'!$O$2)*'Sheet 2. County Level Data'!$P$4</f>
        <v>#DIV/0!</v>
      </c>
      <c r="F98" s="29" t="e">
        <f>('Formula Calculations (LOCKED)'!D98/'Formula Calculations (LOCKED)'!$D$2)*'Sheet 2. County Level Data'!$P$4</f>
        <v>#DIV/0!</v>
      </c>
      <c r="G98" s="29" t="e">
        <f>'Sheet 2. County Level Data'!$T$11+(0.5*10000000)*'Formula Calculations (LOCKED)'!H98/'Formula Calculations (LOCKED)'!$H$2</f>
        <v>#DIV/0!</v>
      </c>
      <c r="H98" s="29" t="e">
        <f>(0.5*10000000)*'Formula Calculations (LOCKED)'!H98/'Formula Calculations (LOCKED)'!$H$2+(0.5*10000000)*'Formula Calculations (LOCKED)'!D98/'Formula Calculations (LOCKED)'!$D$2</f>
        <v>#DIV/0!</v>
      </c>
      <c r="I98" s="7" t="e">
        <f>'Sheet 2. County Level Data'!$T$12+(0.3333333333*10000000*('Formula Calculations (LOCKED)'!H98/'Formula Calculations (LOCKED)'!$H$2))+(0.3333333333*10000000*('Formula Calculations (LOCKED)'!D98/'Formula Calculations (LOCKED)'!$D$2))</f>
        <v>#DIV/0!</v>
      </c>
      <c r="J98" s="29" t="e">
        <f>'Sheet 2. County Level Data'!$T$13+(0.25*10000000*('Formula Calculations (LOCKED)'!H98/'Formula Calculations (LOCKED)'!$H$2))+(0.25*10000000*('Formula Calculations (LOCKED)'!D98/'Formula Calculations (LOCKED)'!$D$2))+(0.25*10000000*('Formula Calculations (LOCKED)'!L98/'Formula Calculations (LOCKED)'!$L$2))</f>
        <v>#DIV/0!</v>
      </c>
      <c r="K98" s="29" t="e">
        <f>'Sheet 2. County Level Data'!$T$13+(0.25*10000000*('Formula Calculations (LOCKED)'!H98/'Formula Calculations (LOCKED)'!$H$2))+(0.25*10000000*('Formula Calculations (LOCKED)'!D98/'Formula Calculations (LOCKED)'!$D$2))+(0.25*10000000*('Formula Calculations (LOCKED)'!O98/'Formula Calculations (LOCKED)'!$O$2))</f>
        <v>#DIV/0!</v>
      </c>
      <c r="L98" s="29" t="e">
        <f>IF('Formula Calculations (LOCKED)'!$G98=1,('Sheet 2. County Level Data'!$P$12*('Formula Calculations (LOCKED)'!K98/'Formula Calculations (LOCKED)'!$K$2)),((10000000-'Sheet 2. County Level Data'!$P$12)*'Formula Calculations (LOCKED)'!J98/'Formula Calculations (LOCKED)'!$J$2))</f>
        <v>#DIV/0!</v>
      </c>
      <c r="M98" s="29" t="e">
        <f>IF('Formula Calculations (LOCKED)'!$G98=1,((0.5*'Sheet 2. County Level Data'!$P$12)*('Formula Calculations (LOCKED)'!K98/'Formula Calculations (LOCKED)'!$K$2))+((0.5*'Sheet 2. County Level Data'!$P$12)*('Formula Calculations (LOCKED)'!N98/'Formula Calculations (LOCKED)'!$N$2)),((0.5*(10000000-'Sheet 2. County Level Data'!$P$12))*('Formula Calculations (LOCKED)'!J98/'Formula Calculations (LOCKED)'!$J$2))+((0.5*(10000000-'Sheet 2. County Level Data'!$P$12))*('Formula Calculations (LOCKED)'!M98/'Formula Calculations (LOCKED)'!$M$2)))</f>
        <v>#DIV/0!</v>
      </c>
      <c r="N98" s="29" t="e">
        <f>IF('Formula Calculations (LOCKED)'!$G98=1,((0.5*'Sheet 2. County Level Data'!$P$12)*('Formula Calculations (LOCKED)'!K98/'Formula Calculations (LOCKED)'!$K$2))+((0.5*'Sheet 2. County Level Data'!$P$12)*('Formula Calculations (LOCKED)'!R98/'Formula Calculations (LOCKED)'!$R$2)),((0.5*(10000000-'Sheet 2. County Level Data'!$P$12))*('Formula Calculations (LOCKED)'!J98/'Formula Calculations (LOCKED)'!$J$2))+((0.5*(10000000-'Sheet 2. County Level Data'!$P$12))*('Formula Calculations (LOCKED)'!Q98/'Formula Calculations (LOCKED)'!$Q$2)))</f>
        <v>#DIV/0!</v>
      </c>
    </row>
    <row r="99" spans="1:14" x14ac:dyDescent="0.2">
      <c r="A99" s="7">
        <f>'Sheet 2. County Level Data'!A97</f>
        <v>0</v>
      </c>
      <c r="B99" s="29" t="e">
        <f>('Formula Calculations (LOCKED)'!C99*'Sheet 2. County Level Data'!$P$4)</f>
        <v>#DIV/0!</v>
      </c>
      <c r="C99" s="29" t="e">
        <f>'Formula Calculations (LOCKED)'!H99/'Formula Calculations (LOCKED)'!$H$2*'Sheet 2. County Level Data'!$P$4</f>
        <v>#DIV/0!</v>
      </c>
      <c r="D99" s="29" t="e">
        <f>('Formula Calculations (LOCKED)'!L99/'Formula Calculations (LOCKED)'!$L$2)*'Sheet 2. County Level Data'!$P$4</f>
        <v>#DIV/0!</v>
      </c>
      <c r="E99" s="29" t="e">
        <f>('Formula Calculations (LOCKED)'!O99/'Formula Calculations (LOCKED)'!$O$2)*'Sheet 2. County Level Data'!$P$4</f>
        <v>#DIV/0!</v>
      </c>
      <c r="F99" s="29" t="e">
        <f>('Formula Calculations (LOCKED)'!D99/'Formula Calculations (LOCKED)'!$D$2)*'Sheet 2. County Level Data'!$P$4</f>
        <v>#DIV/0!</v>
      </c>
      <c r="G99" s="29" t="e">
        <f>'Sheet 2. County Level Data'!$T$11+(0.5*10000000)*'Formula Calculations (LOCKED)'!H99/'Formula Calculations (LOCKED)'!$H$2</f>
        <v>#DIV/0!</v>
      </c>
      <c r="H99" s="29" t="e">
        <f>(0.5*10000000)*'Formula Calculations (LOCKED)'!H99/'Formula Calculations (LOCKED)'!$H$2+(0.5*10000000)*'Formula Calculations (LOCKED)'!D99/'Formula Calculations (LOCKED)'!$D$2</f>
        <v>#DIV/0!</v>
      </c>
      <c r="I99" s="7" t="e">
        <f>'Sheet 2. County Level Data'!$T$12+(0.3333333333*10000000*('Formula Calculations (LOCKED)'!H99/'Formula Calculations (LOCKED)'!$H$2))+(0.3333333333*10000000*('Formula Calculations (LOCKED)'!D99/'Formula Calculations (LOCKED)'!$D$2))</f>
        <v>#DIV/0!</v>
      </c>
      <c r="J99" s="29" t="e">
        <f>'Sheet 2. County Level Data'!$T$13+(0.25*10000000*('Formula Calculations (LOCKED)'!H99/'Formula Calculations (LOCKED)'!$H$2))+(0.25*10000000*('Formula Calculations (LOCKED)'!D99/'Formula Calculations (LOCKED)'!$D$2))+(0.25*10000000*('Formula Calculations (LOCKED)'!L99/'Formula Calculations (LOCKED)'!$L$2))</f>
        <v>#DIV/0!</v>
      </c>
      <c r="K99" s="29" t="e">
        <f>'Sheet 2. County Level Data'!$T$13+(0.25*10000000*('Formula Calculations (LOCKED)'!H99/'Formula Calculations (LOCKED)'!$H$2))+(0.25*10000000*('Formula Calculations (LOCKED)'!D99/'Formula Calculations (LOCKED)'!$D$2))+(0.25*10000000*('Formula Calculations (LOCKED)'!O99/'Formula Calculations (LOCKED)'!$O$2))</f>
        <v>#DIV/0!</v>
      </c>
      <c r="L99" s="29" t="e">
        <f>IF('Formula Calculations (LOCKED)'!$G99=1,('Sheet 2. County Level Data'!$P$12*('Formula Calculations (LOCKED)'!K99/'Formula Calculations (LOCKED)'!$K$2)),((10000000-'Sheet 2. County Level Data'!$P$12)*'Formula Calculations (LOCKED)'!J99/'Formula Calculations (LOCKED)'!$J$2))</f>
        <v>#DIV/0!</v>
      </c>
      <c r="M99" s="29" t="e">
        <f>IF('Formula Calculations (LOCKED)'!$G99=1,((0.5*'Sheet 2. County Level Data'!$P$12)*('Formula Calculations (LOCKED)'!K99/'Formula Calculations (LOCKED)'!$K$2))+((0.5*'Sheet 2. County Level Data'!$P$12)*('Formula Calculations (LOCKED)'!N99/'Formula Calculations (LOCKED)'!$N$2)),((0.5*(10000000-'Sheet 2. County Level Data'!$P$12))*('Formula Calculations (LOCKED)'!J99/'Formula Calculations (LOCKED)'!$J$2))+((0.5*(10000000-'Sheet 2. County Level Data'!$P$12))*('Formula Calculations (LOCKED)'!M99/'Formula Calculations (LOCKED)'!$M$2)))</f>
        <v>#DIV/0!</v>
      </c>
      <c r="N99" s="29" t="e">
        <f>IF('Formula Calculations (LOCKED)'!$G99=1,((0.5*'Sheet 2. County Level Data'!$P$12)*('Formula Calculations (LOCKED)'!K99/'Formula Calculations (LOCKED)'!$K$2))+((0.5*'Sheet 2. County Level Data'!$P$12)*('Formula Calculations (LOCKED)'!R99/'Formula Calculations (LOCKED)'!$R$2)),((0.5*(10000000-'Sheet 2. County Level Data'!$P$12))*('Formula Calculations (LOCKED)'!J99/'Formula Calculations (LOCKED)'!$J$2))+((0.5*(10000000-'Sheet 2. County Level Data'!$P$12))*('Formula Calculations (LOCKED)'!Q99/'Formula Calculations (LOCKED)'!$Q$2)))</f>
        <v>#DIV/0!</v>
      </c>
    </row>
    <row r="100" spans="1:14" x14ac:dyDescent="0.2">
      <c r="A100" s="7">
        <f>'Sheet 2. County Level Data'!A98</f>
        <v>0</v>
      </c>
      <c r="B100" s="29" t="e">
        <f>('Formula Calculations (LOCKED)'!C100*'Sheet 2. County Level Data'!$P$4)</f>
        <v>#DIV/0!</v>
      </c>
      <c r="C100" s="29" t="e">
        <f>'Formula Calculations (LOCKED)'!H100/'Formula Calculations (LOCKED)'!$H$2*'Sheet 2. County Level Data'!$P$4</f>
        <v>#DIV/0!</v>
      </c>
      <c r="D100" s="29" t="e">
        <f>('Formula Calculations (LOCKED)'!L100/'Formula Calculations (LOCKED)'!$L$2)*'Sheet 2. County Level Data'!$P$4</f>
        <v>#DIV/0!</v>
      </c>
      <c r="E100" s="29" t="e">
        <f>('Formula Calculations (LOCKED)'!O100/'Formula Calculations (LOCKED)'!$O$2)*'Sheet 2. County Level Data'!$P$4</f>
        <v>#DIV/0!</v>
      </c>
      <c r="F100" s="29" t="e">
        <f>('Formula Calculations (LOCKED)'!D100/'Formula Calculations (LOCKED)'!$D$2)*'Sheet 2. County Level Data'!$P$4</f>
        <v>#DIV/0!</v>
      </c>
      <c r="G100" s="29" t="e">
        <f>'Sheet 2. County Level Data'!$T$11+(0.5*10000000)*'Formula Calculations (LOCKED)'!H100/'Formula Calculations (LOCKED)'!$H$2</f>
        <v>#DIV/0!</v>
      </c>
      <c r="H100" s="29" t="e">
        <f>(0.5*10000000)*'Formula Calculations (LOCKED)'!H100/'Formula Calculations (LOCKED)'!$H$2+(0.5*10000000)*'Formula Calculations (LOCKED)'!D100/'Formula Calculations (LOCKED)'!$D$2</f>
        <v>#DIV/0!</v>
      </c>
      <c r="I100" s="7" t="e">
        <f>'Sheet 2. County Level Data'!$T$12+(0.3333333333*10000000*('Formula Calculations (LOCKED)'!H100/'Formula Calculations (LOCKED)'!$H$2))+(0.3333333333*10000000*('Formula Calculations (LOCKED)'!D100/'Formula Calculations (LOCKED)'!$D$2))</f>
        <v>#DIV/0!</v>
      </c>
      <c r="J100" s="29" t="e">
        <f>'Sheet 2. County Level Data'!$T$13+(0.25*10000000*('Formula Calculations (LOCKED)'!H100/'Formula Calculations (LOCKED)'!$H$2))+(0.25*10000000*('Formula Calculations (LOCKED)'!D100/'Formula Calculations (LOCKED)'!$D$2))+(0.25*10000000*('Formula Calculations (LOCKED)'!L100/'Formula Calculations (LOCKED)'!$L$2))</f>
        <v>#DIV/0!</v>
      </c>
      <c r="K100" s="29" t="e">
        <f>'Sheet 2. County Level Data'!$T$13+(0.25*10000000*('Formula Calculations (LOCKED)'!H100/'Formula Calculations (LOCKED)'!$H$2))+(0.25*10000000*('Formula Calculations (LOCKED)'!D100/'Formula Calculations (LOCKED)'!$D$2))+(0.25*10000000*('Formula Calculations (LOCKED)'!O100/'Formula Calculations (LOCKED)'!$O$2))</f>
        <v>#DIV/0!</v>
      </c>
      <c r="L100" s="29" t="e">
        <f>IF('Formula Calculations (LOCKED)'!$G100=1,('Sheet 2. County Level Data'!$P$12*('Formula Calculations (LOCKED)'!K100/'Formula Calculations (LOCKED)'!$K$2)),((10000000-'Sheet 2. County Level Data'!$P$12)*'Formula Calculations (LOCKED)'!J100/'Formula Calculations (LOCKED)'!$J$2))</f>
        <v>#DIV/0!</v>
      </c>
      <c r="M100" s="29" t="e">
        <f>IF('Formula Calculations (LOCKED)'!$G100=1,((0.5*'Sheet 2. County Level Data'!$P$12)*('Formula Calculations (LOCKED)'!K100/'Formula Calculations (LOCKED)'!$K$2))+((0.5*'Sheet 2. County Level Data'!$P$12)*('Formula Calculations (LOCKED)'!N100/'Formula Calculations (LOCKED)'!$N$2)),((0.5*(10000000-'Sheet 2. County Level Data'!$P$12))*('Formula Calculations (LOCKED)'!J100/'Formula Calculations (LOCKED)'!$J$2))+((0.5*(10000000-'Sheet 2. County Level Data'!$P$12))*('Formula Calculations (LOCKED)'!M100/'Formula Calculations (LOCKED)'!$M$2)))</f>
        <v>#DIV/0!</v>
      </c>
      <c r="N100" s="29" t="e">
        <f>IF('Formula Calculations (LOCKED)'!$G100=1,((0.5*'Sheet 2. County Level Data'!$P$12)*('Formula Calculations (LOCKED)'!K100/'Formula Calculations (LOCKED)'!$K$2))+((0.5*'Sheet 2. County Level Data'!$P$12)*('Formula Calculations (LOCKED)'!R100/'Formula Calculations (LOCKED)'!$R$2)),((0.5*(10000000-'Sheet 2. County Level Data'!$P$12))*('Formula Calculations (LOCKED)'!J100/'Formula Calculations (LOCKED)'!$J$2))+((0.5*(10000000-'Sheet 2. County Level Data'!$P$12))*('Formula Calculations (LOCKED)'!Q100/'Formula Calculations (LOCKED)'!$Q$2)))</f>
        <v>#DIV/0!</v>
      </c>
    </row>
    <row r="101" spans="1:14" x14ac:dyDescent="0.2">
      <c r="A101" s="7">
        <f>'Sheet 2. County Level Data'!A99</f>
        <v>0</v>
      </c>
      <c r="B101" s="29" t="e">
        <f>('Formula Calculations (LOCKED)'!C101*'Sheet 2. County Level Data'!$P$4)</f>
        <v>#DIV/0!</v>
      </c>
      <c r="C101" s="29" t="e">
        <f>'Formula Calculations (LOCKED)'!H101/'Formula Calculations (LOCKED)'!$H$2*'Sheet 2. County Level Data'!$P$4</f>
        <v>#DIV/0!</v>
      </c>
      <c r="D101" s="29" t="e">
        <f>('Formula Calculations (LOCKED)'!L101/'Formula Calculations (LOCKED)'!$L$2)*'Sheet 2. County Level Data'!$P$4</f>
        <v>#DIV/0!</v>
      </c>
      <c r="E101" s="29" t="e">
        <f>('Formula Calculations (LOCKED)'!O101/'Formula Calculations (LOCKED)'!$O$2)*'Sheet 2. County Level Data'!$P$4</f>
        <v>#DIV/0!</v>
      </c>
      <c r="F101" s="29" t="e">
        <f>('Formula Calculations (LOCKED)'!D101/'Formula Calculations (LOCKED)'!$D$2)*'Sheet 2. County Level Data'!$P$4</f>
        <v>#DIV/0!</v>
      </c>
      <c r="G101" s="29" t="e">
        <f>'Sheet 2. County Level Data'!$T$11+(0.5*10000000)*'Formula Calculations (LOCKED)'!H101/'Formula Calculations (LOCKED)'!$H$2</f>
        <v>#DIV/0!</v>
      </c>
      <c r="H101" s="29" t="e">
        <f>(0.5*10000000)*'Formula Calculations (LOCKED)'!H101/'Formula Calculations (LOCKED)'!$H$2+(0.5*10000000)*'Formula Calculations (LOCKED)'!D101/'Formula Calculations (LOCKED)'!$D$2</f>
        <v>#DIV/0!</v>
      </c>
      <c r="I101" s="7" t="e">
        <f>'Sheet 2. County Level Data'!$T$12+(0.3333333333*10000000*('Formula Calculations (LOCKED)'!H101/'Formula Calculations (LOCKED)'!$H$2))+(0.3333333333*10000000*('Formula Calculations (LOCKED)'!D101/'Formula Calculations (LOCKED)'!$D$2))</f>
        <v>#DIV/0!</v>
      </c>
      <c r="J101" s="29" t="e">
        <f>'Sheet 2. County Level Data'!$T$13+(0.25*10000000*('Formula Calculations (LOCKED)'!H101/'Formula Calculations (LOCKED)'!$H$2))+(0.25*10000000*('Formula Calculations (LOCKED)'!D101/'Formula Calculations (LOCKED)'!$D$2))+(0.25*10000000*('Formula Calculations (LOCKED)'!L101/'Formula Calculations (LOCKED)'!$L$2))</f>
        <v>#DIV/0!</v>
      </c>
      <c r="K101" s="29" t="e">
        <f>'Sheet 2. County Level Data'!$T$13+(0.25*10000000*('Formula Calculations (LOCKED)'!H101/'Formula Calculations (LOCKED)'!$H$2))+(0.25*10000000*('Formula Calculations (LOCKED)'!D101/'Formula Calculations (LOCKED)'!$D$2))+(0.25*10000000*('Formula Calculations (LOCKED)'!O101/'Formula Calculations (LOCKED)'!$O$2))</f>
        <v>#DIV/0!</v>
      </c>
      <c r="L101" s="29" t="e">
        <f>IF('Formula Calculations (LOCKED)'!$G101=1,('Sheet 2. County Level Data'!$P$12*('Formula Calculations (LOCKED)'!K101/'Formula Calculations (LOCKED)'!$K$2)),((10000000-'Sheet 2. County Level Data'!$P$12)*'Formula Calculations (LOCKED)'!J101/'Formula Calculations (LOCKED)'!$J$2))</f>
        <v>#DIV/0!</v>
      </c>
      <c r="M101" s="29" t="e">
        <f>IF('Formula Calculations (LOCKED)'!$G101=1,((0.5*'Sheet 2. County Level Data'!$P$12)*('Formula Calculations (LOCKED)'!K101/'Formula Calculations (LOCKED)'!$K$2))+((0.5*'Sheet 2. County Level Data'!$P$12)*('Formula Calculations (LOCKED)'!N101/'Formula Calculations (LOCKED)'!$N$2)),((0.5*(10000000-'Sheet 2. County Level Data'!$P$12))*('Formula Calculations (LOCKED)'!J101/'Formula Calculations (LOCKED)'!$J$2))+((0.5*(10000000-'Sheet 2. County Level Data'!$P$12))*('Formula Calculations (LOCKED)'!M101/'Formula Calculations (LOCKED)'!$M$2)))</f>
        <v>#DIV/0!</v>
      </c>
      <c r="N101" s="29" t="e">
        <f>IF('Formula Calculations (LOCKED)'!$G101=1,((0.5*'Sheet 2. County Level Data'!$P$12)*('Formula Calculations (LOCKED)'!K101/'Formula Calculations (LOCKED)'!$K$2))+((0.5*'Sheet 2. County Level Data'!$P$12)*('Formula Calculations (LOCKED)'!R101/'Formula Calculations (LOCKED)'!$R$2)),((0.5*(10000000-'Sheet 2. County Level Data'!$P$12))*('Formula Calculations (LOCKED)'!J101/'Formula Calculations (LOCKED)'!$J$2))+((0.5*(10000000-'Sheet 2. County Level Data'!$P$12))*('Formula Calculations (LOCKED)'!Q101/'Formula Calculations (LOCKED)'!$Q$2)))</f>
        <v>#DIV/0!</v>
      </c>
    </row>
    <row r="102" spans="1:14" x14ac:dyDescent="0.2">
      <c r="A102" s="7">
        <f>'Sheet 2. County Level Data'!A100</f>
        <v>0</v>
      </c>
      <c r="B102" s="29" t="e">
        <f>('Formula Calculations (LOCKED)'!C102*'Sheet 2. County Level Data'!$P$4)</f>
        <v>#DIV/0!</v>
      </c>
      <c r="C102" s="29" t="e">
        <f>'Formula Calculations (LOCKED)'!H102/'Formula Calculations (LOCKED)'!$H$2*'Sheet 2. County Level Data'!$P$4</f>
        <v>#DIV/0!</v>
      </c>
      <c r="D102" s="29" t="e">
        <f>('Formula Calculations (LOCKED)'!L102/'Formula Calculations (LOCKED)'!$L$2)*'Sheet 2. County Level Data'!$P$4</f>
        <v>#DIV/0!</v>
      </c>
      <c r="E102" s="29" t="e">
        <f>('Formula Calculations (LOCKED)'!O102/'Formula Calculations (LOCKED)'!$O$2)*'Sheet 2. County Level Data'!$P$4</f>
        <v>#DIV/0!</v>
      </c>
      <c r="F102" s="29" t="e">
        <f>('Formula Calculations (LOCKED)'!D102/'Formula Calculations (LOCKED)'!$D$2)*'Sheet 2. County Level Data'!$P$4</f>
        <v>#DIV/0!</v>
      </c>
      <c r="G102" s="29" t="e">
        <f>'Sheet 2. County Level Data'!$T$11+(0.5*10000000)*'Formula Calculations (LOCKED)'!H102/'Formula Calculations (LOCKED)'!$H$2</f>
        <v>#DIV/0!</v>
      </c>
      <c r="H102" s="29" t="e">
        <f>(0.5*10000000)*'Formula Calculations (LOCKED)'!H102/'Formula Calculations (LOCKED)'!$H$2+(0.5*10000000)*'Formula Calculations (LOCKED)'!D102/'Formula Calculations (LOCKED)'!$D$2</f>
        <v>#DIV/0!</v>
      </c>
      <c r="I102" s="7" t="e">
        <f>'Sheet 2. County Level Data'!$T$12+(0.3333333333*10000000*('Formula Calculations (LOCKED)'!H102/'Formula Calculations (LOCKED)'!$H$2))+(0.3333333333*10000000*('Formula Calculations (LOCKED)'!D102/'Formula Calculations (LOCKED)'!$D$2))</f>
        <v>#DIV/0!</v>
      </c>
      <c r="J102" s="29" t="e">
        <f>'Sheet 2. County Level Data'!$T$13+(0.25*10000000*('Formula Calculations (LOCKED)'!H102/'Formula Calculations (LOCKED)'!$H$2))+(0.25*10000000*('Formula Calculations (LOCKED)'!D102/'Formula Calculations (LOCKED)'!$D$2))+(0.25*10000000*('Formula Calculations (LOCKED)'!L102/'Formula Calculations (LOCKED)'!$L$2))</f>
        <v>#DIV/0!</v>
      </c>
      <c r="K102" s="29" t="e">
        <f>'Sheet 2. County Level Data'!$T$13+(0.25*10000000*('Formula Calculations (LOCKED)'!H102/'Formula Calculations (LOCKED)'!$H$2))+(0.25*10000000*('Formula Calculations (LOCKED)'!D102/'Formula Calculations (LOCKED)'!$D$2))+(0.25*10000000*('Formula Calculations (LOCKED)'!O102/'Formula Calculations (LOCKED)'!$O$2))</f>
        <v>#DIV/0!</v>
      </c>
      <c r="L102" s="29" t="e">
        <f>IF('Formula Calculations (LOCKED)'!$G102=1,('Sheet 2. County Level Data'!$P$12*('Formula Calculations (LOCKED)'!K102/'Formula Calculations (LOCKED)'!$K$2)),((10000000-'Sheet 2. County Level Data'!$P$12)*'Formula Calculations (LOCKED)'!J102/'Formula Calculations (LOCKED)'!$J$2))</f>
        <v>#DIV/0!</v>
      </c>
      <c r="M102" s="29" t="e">
        <f>IF('Formula Calculations (LOCKED)'!$G102=1,((0.5*'Sheet 2. County Level Data'!$P$12)*('Formula Calculations (LOCKED)'!K102/'Formula Calculations (LOCKED)'!$K$2))+((0.5*'Sheet 2. County Level Data'!$P$12)*('Formula Calculations (LOCKED)'!N102/'Formula Calculations (LOCKED)'!$N$2)),((0.5*(10000000-'Sheet 2. County Level Data'!$P$12))*('Formula Calculations (LOCKED)'!J102/'Formula Calculations (LOCKED)'!$J$2))+((0.5*(10000000-'Sheet 2. County Level Data'!$P$12))*('Formula Calculations (LOCKED)'!M102/'Formula Calculations (LOCKED)'!$M$2)))</f>
        <v>#DIV/0!</v>
      </c>
      <c r="N102" s="29" t="e">
        <f>IF('Formula Calculations (LOCKED)'!$G102=1,((0.5*'Sheet 2. County Level Data'!$P$12)*('Formula Calculations (LOCKED)'!K102/'Formula Calculations (LOCKED)'!$K$2))+((0.5*'Sheet 2. County Level Data'!$P$12)*('Formula Calculations (LOCKED)'!R102/'Formula Calculations (LOCKED)'!$R$2)),((0.5*(10000000-'Sheet 2. County Level Data'!$P$12))*('Formula Calculations (LOCKED)'!J102/'Formula Calculations (LOCKED)'!$J$2))+((0.5*(10000000-'Sheet 2. County Level Data'!$P$12))*('Formula Calculations (LOCKED)'!Q102/'Formula Calculations (LOCKED)'!$Q$2)))</f>
        <v>#DIV/0!</v>
      </c>
    </row>
    <row r="103" spans="1:14" x14ac:dyDescent="0.2">
      <c r="A103" s="7">
        <f>'Sheet 2. County Level Data'!A101</f>
        <v>0</v>
      </c>
      <c r="B103" s="29" t="e">
        <f>('Formula Calculations (LOCKED)'!C103*'Sheet 2. County Level Data'!$P$4)</f>
        <v>#DIV/0!</v>
      </c>
      <c r="C103" s="29" t="e">
        <f>'Formula Calculations (LOCKED)'!H103/'Formula Calculations (LOCKED)'!$H$2*'Sheet 2. County Level Data'!$P$4</f>
        <v>#DIV/0!</v>
      </c>
      <c r="D103" s="29" t="e">
        <f>('Formula Calculations (LOCKED)'!L103/'Formula Calculations (LOCKED)'!$L$2)*'Sheet 2. County Level Data'!$P$4</f>
        <v>#DIV/0!</v>
      </c>
      <c r="E103" s="29" t="e">
        <f>('Formula Calculations (LOCKED)'!O103/'Formula Calculations (LOCKED)'!$O$2)*'Sheet 2. County Level Data'!$P$4</f>
        <v>#DIV/0!</v>
      </c>
      <c r="F103" s="29" t="e">
        <f>('Formula Calculations (LOCKED)'!D103/'Formula Calculations (LOCKED)'!$D$2)*'Sheet 2. County Level Data'!$P$4</f>
        <v>#DIV/0!</v>
      </c>
      <c r="G103" s="29" t="e">
        <f>'Sheet 2. County Level Data'!$T$11+(0.5*10000000)*'Formula Calculations (LOCKED)'!H103/'Formula Calculations (LOCKED)'!$H$2</f>
        <v>#DIV/0!</v>
      </c>
      <c r="H103" s="29" t="e">
        <f>(0.5*10000000)*'Formula Calculations (LOCKED)'!H103/'Formula Calculations (LOCKED)'!$H$2+(0.5*10000000)*'Formula Calculations (LOCKED)'!D103/'Formula Calculations (LOCKED)'!$D$2</f>
        <v>#DIV/0!</v>
      </c>
      <c r="I103" s="7" t="e">
        <f>'Sheet 2. County Level Data'!$T$12+(0.3333333333*10000000*('Formula Calculations (LOCKED)'!H103/'Formula Calculations (LOCKED)'!$H$2))+(0.3333333333*10000000*('Formula Calculations (LOCKED)'!D103/'Formula Calculations (LOCKED)'!$D$2))</f>
        <v>#DIV/0!</v>
      </c>
      <c r="J103" s="29" t="e">
        <f>'Sheet 2. County Level Data'!$T$13+(0.25*10000000*('Formula Calculations (LOCKED)'!H103/'Formula Calculations (LOCKED)'!$H$2))+(0.25*10000000*('Formula Calculations (LOCKED)'!D103/'Formula Calculations (LOCKED)'!$D$2))+(0.25*10000000*('Formula Calculations (LOCKED)'!L103/'Formula Calculations (LOCKED)'!$L$2))</f>
        <v>#DIV/0!</v>
      </c>
      <c r="K103" s="29" t="e">
        <f>'Sheet 2. County Level Data'!$T$13+(0.25*10000000*('Formula Calculations (LOCKED)'!H103/'Formula Calculations (LOCKED)'!$H$2))+(0.25*10000000*('Formula Calculations (LOCKED)'!D103/'Formula Calculations (LOCKED)'!$D$2))+(0.25*10000000*('Formula Calculations (LOCKED)'!O103/'Formula Calculations (LOCKED)'!$O$2))</f>
        <v>#DIV/0!</v>
      </c>
      <c r="L103" s="29" t="e">
        <f>IF('Formula Calculations (LOCKED)'!$G103=1,('Sheet 2. County Level Data'!$P$12*('Formula Calculations (LOCKED)'!K103/'Formula Calculations (LOCKED)'!$K$2)),((10000000-'Sheet 2. County Level Data'!$P$12)*'Formula Calculations (LOCKED)'!J103/'Formula Calculations (LOCKED)'!$J$2))</f>
        <v>#DIV/0!</v>
      </c>
      <c r="M103" s="29" t="e">
        <f>IF('Formula Calculations (LOCKED)'!$G103=1,((0.5*'Sheet 2. County Level Data'!$P$12)*('Formula Calculations (LOCKED)'!K103/'Formula Calculations (LOCKED)'!$K$2))+((0.5*'Sheet 2. County Level Data'!$P$12)*('Formula Calculations (LOCKED)'!N103/'Formula Calculations (LOCKED)'!$N$2)),((0.5*(10000000-'Sheet 2. County Level Data'!$P$12))*('Formula Calculations (LOCKED)'!J103/'Formula Calculations (LOCKED)'!$J$2))+((0.5*(10000000-'Sheet 2. County Level Data'!$P$12))*('Formula Calculations (LOCKED)'!M103/'Formula Calculations (LOCKED)'!$M$2)))</f>
        <v>#DIV/0!</v>
      </c>
      <c r="N103" s="29" t="e">
        <f>IF('Formula Calculations (LOCKED)'!$G103=1,((0.5*'Sheet 2. County Level Data'!$P$12)*('Formula Calculations (LOCKED)'!K103/'Formula Calculations (LOCKED)'!$K$2))+((0.5*'Sheet 2. County Level Data'!$P$12)*('Formula Calculations (LOCKED)'!R103/'Formula Calculations (LOCKED)'!$R$2)),((0.5*(10000000-'Sheet 2. County Level Data'!$P$12))*('Formula Calculations (LOCKED)'!J103/'Formula Calculations (LOCKED)'!$J$2))+((0.5*(10000000-'Sheet 2. County Level Data'!$P$12))*('Formula Calculations (LOCKED)'!Q103/'Formula Calculations (LOCKED)'!$Q$2)))</f>
        <v>#DIV/0!</v>
      </c>
    </row>
    <row r="104" spans="1:14" x14ac:dyDescent="0.2">
      <c r="A104" s="7">
        <f>'Sheet 2. County Level Data'!A102</f>
        <v>0</v>
      </c>
      <c r="B104" s="29" t="e">
        <f>('Formula Calculations (LOCKED)'!C104*'Sheet 2. County Level Data'!$P$4)</f>
        <v>#DIV/0!</v>
      </c>
      <c r="C104" s="29" t="e">
        <f>'Formula Calculations (LOCKED)'!H104/'Formula Calculations (LOCKED)'!$H$2*'Sheet 2. County Level Data'!$P$4</f>
        <v>#DIV/0!</v>
      </c>
      <c r="D104" s="29" t="e">
        <f>('Formula Calculations (LOCKED)'!L104/'Formula Calculations (LOCKED)'!$L$2)*'Sheet 2. County Level Data'!$P$4</f>
        <v>#DIV/0!</v>
      </c>
      <c r="E104" s="29" t="e">
        <f>('Formula Calculations (LOCKED)'!O104/'Formula Calculations (LOCKED)'!$O$2)*'Sheet 2. County Level Data'!$P$4</f>
        <v>#DIV/0!</v>
      </c>
      <c r="F104" s="29" t="e">
        <f>('Formula Calculations (LOCKED)'!D104/'Formula Calculations (LOCKED)'!$D$2)*'Sheet 2. County Level Data'!$P$4</f>
        <v>#DIV/0!</v>
      </c>
      <c r="G104" s="29" t="e">
        <f>'Sheet 2. County Level Data'!$T$11+(0.5*10000000)*'Formula Calculations (LOCKED)'!H104/'Formula Calculations (LOCKED)'!$H$2</f>
        <v>#DIV/0!</v>
      </c>
      <c r="H104" s="29" t="e">
        <f>(0.5*10000000)*'Formula Calculations (LOCKED)'!H104/'Formula Calculations (LOCKED)'!$H$2+(0.5*10000000)*'Formula Calculations (LOCKED)'!D104/'Formula Calculations (LOCKED)'!$D$2</f>
        <v>#DIV/0!</v>
      </c>
      <c r="I104" s="7" t="e">
        <f>'Sheet 2. County Level Data'!$T$12+(0.3333333333*10000000*('Formula Calculations (LOCKED)'!H104/'Formula Calculations (LOCKED)'!$H$2))+(0.3333333333*10000000*('Formula Calculations (LOCKED)'!D104/'Formula Calculations (LOCKED)'!$D$2))</f>
        <v>#DIV/0!</v>
      </c>
      <c r="J104" s="29" t="e">
        <f>'Sheet 2. County Level Data'!$T$13+(0.25*10000000*('Formula Calculations (LOCKED)'!H104/'Formula Calculations (LOCKED)'!$H$2))+(0.25*10000000*('Formula Calculations (LOCKED)'!D104/'Formula Calculations (LOCKED)'!$D$2))+(0.25*10000000*('Formula Calculations (LOCKED)'!L104/'Formula Calculations (LOCKED)'!$L$2))</f>
        <v>#DIV/0!</v>
      </c>
      <c r="K104" s="29" t="e">
        <f>'Sheet 2. County Level Data'!$T$13+(0.25*10000000*('Formula Calculations (LOCKED)'!H104/'Formula Calculations (LOCKED)'!$H$2))+(0.25*10000000*('Formula Calculations (LOCKED)'!D104/'Formula Calculations (LOCKED)'!$D$2))+(0.25*10000000*('Formula Calculations (LOCKED)'!O104/'Formula Calculations (LOCKED)'!$O$2))</f>
        <v>#DIV/0!</v>
      </c>
      <c r="L104" s="29" t="e">
        <f>IF('Formula Calculations (LOCKED)'!$G104=1,('Sheet 2. County Level Data'!$P$12*('Formula Calculations (LOCKED)'!K104/'Formula Calculations (LOCKED)'!$K$2)),((10000000-'Sheet 2. County Level Data'!$P$12)*'Formula Calculations (LOCKED)'!J104/'Formula Calculations (LOCKED)'!$J$2))</f>
        <v>#DIV/0!</v>
      </c>
      <c r="M104" s="29" t="e">
        <f>IF('Formula Calculations (LOCKED)'!$G104=1,((0.5*'Sheet 2. County Level Data'!$P$12)*('Formula Calculations (LOCKED)'!K104/'Formula Calculations (LOCKED)'!$K$2))+((0.5*'Sheet 2. County Level Data'!$P$12)*('Formula Calculations (LOCKED)'!N104/'Formula Calculations (LOCKED)'!$N$2)),((0.5*(10000000-'Sheet 2. County Level Data'!$P$12))*('Formula Calculations (LOCKED)'!J104/'Formula Calculations (LOCKED)'!$J$2))+((0.5*(10000000-'Sheet 2. County Level Data'!$P$12))*('Formula Calculations (LOCKED)'!M104/'Formula Calculations (LOCKED)'!$M$2)))</f>
        <v>#DIV/0!</v>
      </c>
      <c r="N104" s="29" t="e">
        <f>IF('Formula Calculations (LOCKED)'!$G104=1,((0.5*'Sheet 2. County Level Data'!$P$12)*('Formula Calculations (LOCKED)'!K104/'Formula Calculations (LOCKED)'!$K$2))+((0.5*'Sheet 2. County Level Data'!$P$12)*('Formula Calculations (LOCKED)'!R104/'Formula Calculations (LOCKED)'!$R$2)),((0.5*(10000000-'Sheet 2. County Level Data'!$P$12))*('Formula Calculations (LOCKED)'!J104/'Formula Calculations (LOCKED)'!$J$2))+((0.5*(10000000-'Sheet 2. County Level Data'!$P$12))*('Formula Calculations (LOCKED)'!Q104/'Formula Calculations (LOCKED)'!$Q$2)))</f>
        <v>#DIV/0!</v>
      </c>
    </row>
    <row r="105" spans="1:14" x14ac:dyDescent="0.2">
      <c r="A105" s="7">
        <f>'Sheet 2. County Level Data'!A103</f>
        <v>0</v>
      </c>
      <c r="B105" s="29" t="e">
        <f>('Formula Calculations (LOCKED)'!C105*'Sheet 2. County Level Data'!$P$4)</f>
        <v>#DIV/0!</v>
      </c>
      <c r="C105" s="29" t="e">
        <f>'Formula Calculations (LOCKED)'!H105/'Formula Calculations (LOCKED)'!$H$2*'Sheet 2. County Level Data'!$P$4</f>
        <v>#DIV/0!</v>
      </c>
      <c r="D105" s="29" t="e">
        <f>('Formula Calculations (LOCKED)'!L105/'Formula Calculations (LOCKED)'!$L$2)*'Sheet 2. County Level Data'!$P$4</f>
        <v>#DIV/0!</v>
      </c>
      <c r="E105" s="29" t="e">
        <f>('Formula Calculations (LOCKED)'!O105/'Formula Calculations (LOCKED)'!$O$2)*'Sheet 2. County Level Data'!$P$4</f>
        <v>#DIV/0!</v>
      </c>
      <c r="F105" s="29" t="e">
        <f>('Formula Calculations (LOCKED)'!D105/'Formula Calculations (LOCKED)'!$D$2)*'Sheet 2. County Level Data'!$P$4</f>
        <v>#DIV/0!</v>
      </c>
      <c r="G105" s="29" t="e">
        <f>'Sheet 2. County Level Data'!$T$11+(0.5*10000000)*'Formula Calculations (LOCKED)'!H105/'Formula Calculations (LOCKED)'!$H$2</f>
        <v>#DIV/0!</v>
      </c>
      <c r="H105" s="29" t="e">
        <f>(0.5*10000000)*'Formula Calculations (LOCKED)'!H105/'Formula Calculations (LOCKED)'!$H$2+(0.5*10000000)*'Formula Calculations (LOCKED)'!D105/'Formula Calculations (LOCKED)'!$D$2</f>
        <v>#DIV/0!</v>
      </c>
      <c r="I105" s="7" t="e">
        <f>'Sheet 2. County Level Data'!$T$12+(0.3333333333*10000000*('Formula Calculations (LOCKED)'!H105/'Formula Calculations (LOCKED)'!$H$2))+(0.3333333333*10000000*('Formula Calculations (LOCKED)'!D105/'Formula Calculations (LOCKED)'!$D$2))</f>
        <v>#DIV/0!</v>
      </c>
      <c r="J105" s="29" t="e">
        <f>'Sheet 2. County Level Data'!$T$13+(0.25*10000000*('Formula Calculations (LOCKED)'!H105/'Formula Calculations (LOCKED)'!$H$2))+(0.25*10000000*('Formula Calculations (LOCKED)'!D105/'Formula Calculations (LOCKED)'!$D$2))+(0.25*10000000*('Formula Calculations (LOCKED)'!L105/'Formula Calculations (LOCKED)'!$L$2))</f>
        <v>#DIV/0!</v>
      </c>
      <c r="K105" s="29" t="e">
        <f>'Sheet 2. County Level Data'!$T$13+(0.25*10000000*('Formula Calculations (LOCKED)'!H105/'Formula Calculations (LOCKED)'!$H$2))+(0.25*10000000*('Formula Calculations (LOCKED)'!D105/'Formula Calculations (LOCKED)'!$D$2))+(0.25*10000000*('Formula Calculations (LOCKED)'!O105/'Formula Calculations (LOCKED)'!$O$2))</f>
        <v>#DIV/0!</v>
      </c>
      <c r="L105" s="29" t="e">
        <f>IF('Formula Calculations (LOCKED)'!$G105=1,('Sheet 2. County Level Data'!$P$12*('Formula Calculations (LOCKED)'!K105/'Formula Calculations (LOCKED)'!$K$2)),((10000000-'Sheet 2. County Level Data'!$P$12)*'Formula Calculations (LOCKED)'!J105/'Formula Calculations (LOCKED)'!$J$2))</f>
        <v>#DIV/0!</v>
      </c>
      <c r="M105" s="29" t="e">
        <f>IF('Formula Calculations (LOCKED)'!$G105=1,((0.5*'Sheet 2. County Level Data'!$P$12)*('Formula Calculations (LOCKED)'!K105/'Formula Calculations (LOCKED)'!$K$2))+((0.5*'Sheet 2. County Level Data'!$P$12)*('Formula Calculations (LOCKED)'!N105/'Formula Calculations (LOCKED)'!$N$2)),((0.5*(10000000-'Sheet 2. County Level Data'!$P$12))*('Formula Calculations (LOCKED)'!J105/'Formula Calculations (LOCKED)'!$J$2))+((0.5*(10000000-'Sheet 2. County Level Data'!$P$12))*('Formula Calculations (LOCKED)'!M105/'Formula Calculations (LOCKED)'!$M$2)))</f>
        <v>#DIV/0!</v>
      </c>
      <c r="N105" s="29" t="e">
        <f>IF('Formula Calculations (LOCKED)'!$G105=1,((0.5*'Sheet 2. County Level Data'!$P$12)*('Formula Calculations (LOCKED)'!K105/'Formula Calculations (LOCKED)'!$K$2))+((0.5*'Sheet 2. County Level Data'!$P$12)*('Formula Calculations (LOCKED)'!R105/'Formula Calculations (LOCKED)'!$R$2)),((0.5*(10000000-'Sheet 2. County Level Data'!$P$12))*('Formula Calculations (LOCKED)'!J105/'Formula Calculations (LOCKED)'!$J$2))+((0.5*(10000000-'Sheet 2. County Level Data'!$P$12))*('Formula Calculations (LOCKED)'!Q105/'Formula Calculations (LOCKED)'!$Q$2)))</f>
        <v>#DIV/0!</v>
      </c>
    </row>
    <row r="106" spans="1:14" x14ac:dyDescent="0.2">
      <c r="A106" s="7">
        <f>'Sheet 2. County Level Data'!A104</f>
        <v>0</v>
      </c>
      <c r="B106" s="29" t="e">
        <f>('Formula Calculations (LOCKED)'!C106*'Sheet 2. County Level Data'!$P$4)</f>
        <v>#DIV/0!</v>
      </c>
      <c r="C106" s="29" t="e">
        <f>'Formula Calculations (LOCKED)'!H106/'Formula Calculations (LOCKED)'!$H$2*'Sheet 2. County Level Data'!$P$4</f>
        <v>#DIV/0!</v>
      </c>
      <c r="D106" s="29" t="e">
        <f>('Formula Calculations (LOCKED)'!L106/'Formula Calculations (LOCKED)'!$L$2)*'Sheet 2. County Level Data'!$P$4</f>
        <v>#DIV/0!</v>
      </c>
      <c r="E106" s="29" t="e">
        <f>('Formula Calculations (LOCKED)'!O106/'Formula Calculations (LOCKED)'!$O$2)*'Sheet 2. County Level Data'!$P$4</f>
        <v>#DIV/0!</v>
      </c>
      <c r="F106" s="29" t="e">
        <f>('Formula Calculations (LOCKED)'!D106/'Formula Calculations (LOCKED)'!$D$2)*'Sheet 2. County Level Data'!$P$4</f>
        <v>#DIV/0!</v>
      </c>
      <c r="G106" s="29" t="e">
        <f>'Sheet 2. County Level Data'!$T$11+(0.5*10000000)*'Formula Calculations (LOCKED)'!H106/'Formula Calculations (LOCKED)'!$H$2</f>
        <v>#DIV/0!</v>
      </c>
      <c r="H106" s="29" t="e">
        <f>(0.5*10000000)*'Formula Calculations (LOCKED)'!H106/'Formula Calculations (LOCKED)'!$H$2+(0.5*10000000)*'Formula Calculations (LOCKED)'!D106/'Formula Calculations (LOCKED)'!$D$2</f>
        <v>#DIV/0!</v>
      </c>
      <c r="I106" s="7" t="e">
        <f>'Sheet 2. County Level Data'!$T$12+(0.3333333333*10000000*('Formula Calculations (LOCKED)'!H106/'Formula Calculations (LOCKED)'!$H$2))+(0.3333333333*10000000*('Formula Calculations (LOCKED)'!D106/'Formula Calculations (LOCKED)'!$D$2))</f>
        <v>#DIV/0!</v>
      </c>
      <c r="J106" s="29" t="e">
        <f>'Sheet 2. County Level Data'!$T$13+(0.25*10000000*('Formula Calculations (LOCKED)'!H106/'Formula Calculations (LOCKED)'!$H$2))+(0.25*10000000*('Formula Calculations (LOCKED)'!D106/'Formula Calculations (LOCKED)'!$D$2))+(0.25*10000000*('Formula Calculations (LOCKED)'!L106/'Formula Calculations (LOCKED)'!$L$2))</f>
        <v>#DIV/0!</v>
      </c>
      <c r="K106" s="29" t="e">
        <f>'Sheet 2. County Level Data'!$T$13+(0.25*10000000*('Formula Calculations (LOCKED)'!H106/'Formula Calculations (LOCKED)'!$H$2))+(0.25*10000000*('Formula Calculations (LOCKED)'!D106/'Formula Calculations (LOCKED)'!$D$2))+(0.25*10000000*('Formula Calculations (LOCKED)'!O106/'Formula Calculations (LOCKED)'!$O$2))</f>
        <v>#DIV/0!</v>
      </c>
      <c r="L106" s="29" t="e">
        <f>IF('Formula Calculations (LOCKED)'!$G106=1,('Sheet 2. County Level Data'!$P$12*('Formula Calculations (LOCKED)'!K106/'Formula Calculations (LOCKED)'!$K$2)),((10000000-'Sheet 2. County Level Data'!$P$12)*'Formula Calculations (LOCKED)'!J106/'Formula Calculations (LOCKED)'!$J$2))</f>
        <v>#DIV/0!</v>
      </c>
      <c r="M106" s="29" t="e">
        <f>IF('Formula Calculations (LOCKED)'!$G106=1,((0.5*'Sheet 2. County Level Data'!$P$12)*('Formula Calculations (LOCKED)'!K106/'Formula Calculations (LOCKED)'!$K$2))+((0.5*'Sheet 2. County Level Data'!$P$12)*('Formula Calculations (LOCKED)'!N106/'Formula Calculations (LOCKED)'!$N$2)),((0.5*(10000000-'Sheet 2. County Level Data'!$P$12))*('Formula Calculations (LOCKED)'!J106/'Formula Calculations (LOCKED)'!$J$2))+((0.5*(10000000-'Sheet 2. County Level Data'!$P$12))*('Formula Calculations (LOCKED)'!M106/'Formula Calculations (LOCKED)'!$M$2)))</f>
        <v>#DIV/0!</v>
      </c>
      <c r="N106" s="29" t="e">
        <f>IF('Formula Calculations (LOCKED)'!$G106=1,((0.5*'Sheet 2. County Level Data'!$P$12)*('Formula Calculations (LOCKED)'!K106/'Formula Calculations (LOCKED)'!$K$2))+((0.5*'Sheet 2. County Level Data'!$P$12)*('Formula Calculations (LOCKED)'!R106/'Formula Calculations (LOCKED)'!$R$2)),((0.5*(10000000-'Sheet 2. County Level Data'!$P$12))*('Formula Calculations (LOCKED)'!J106/'Formula Calculations (LOCKED)'!$J$2))+((0.5*(10000000-'Sheet 2. County Level Data'!$P$12))*('Formula Calculations (LOCKED)'!Q106/'Formula Calculations (LOCKED)'!$Q$2)))</f>
        <v>#DIV/0!</v>
      </c>
    </row>
    <row r="107" spans="1:14" x14ac:dyDescent="0.2">
      <c r="A107" s="7">
        <f>'Sheet 2. County Level Data'!A105</f>
        <v>0</v>
      </c>
      <c r="B107" s="29" t="e">
        <f>('Formula Calculations (LOCKED)'!C107*'Sheet 2. County Level Data'!$P$4)</f>
        <v>#DIV/0!</v>
      </c>
      <c r="C107" s="29" t="e">
        <f>'Formula Calculations (LOCKED)'!H107/'Formula Calculations (LOCKED)'!$H$2*'Sheet 2. County Level Data'!$P$4</f>
        <v>#DIV/0!</v>
      </c>
      <c r="D107" s="29" t="e">
        <f>('Formula Calculations (LOCKED)'!L107/'Formula Calculations (LOCKED)'!$L$2)*'Sheet 2. County Level Data'!$P$4</f>
        <v>#DIV/0!</v>
      </c>
      <c r="E107" s="29" t="e">
        <f>('Formula Calculations (LOCKED)'!O107/'Formula Calculations (LOCKED)'!$O$2)*'Sheet 2. County Level Data'!$P$4</f>
        <v>#DIV/0!</v>
      </c>
      <c r="F107" s="29" t="e">
        <f>('Formula Calculations (LOCKED)'!D107/'Formula Calculations (LOCKED)'!$D$2)*'Sheet 2. County Level Data'!$P$4</f>
        <v>#DIV/0!</v>
      </c>
      <c r="G107" s="29" t="e">
        <f>'Sheet 2. County Level Data'!$T$11+(0.5*10000000)*'Formula Calculations (LOCKED)'!H107/'Formula Calculations (LOCKED)'!$H$2</f>
        <v>#DIV/0!</v>
      </c>
      <c r="H107" s="29" t="e">
        <f>(0.5*10000000)*'Formula Calculations (LOCKED)'!H107/'Formula Calculations (LOCKED)'!$H$2+(0.5*10000000)*'Formula Calculations (LOCKED)'!D107/'Formula Calculations (LOCKED)'!$D$2</f>
        <v>#DIV/0!</v>
      </c>
      <c r="I107" s="7" t="e">
        <f>'Sheet 2. County Level Data'!$T$12+(0.3333333333*10000000*('Formula Calculations (LOCKED)'!H107/'Formula Calculations (LOCKED)'!$H$2))+(0.3333333333*10000000*('Formula Calculations (LOCKED)'!D107/'Formula Calculations (LOCKED)'!$D$2))</f>
        <v>#DIV/0!</v>
      </c>
      <c r="J107" s="29" t="e">
        <f>'Sheet 2. County Level Data'!$T$13+(0.25*10000000*('Formula Calculations (LOCKED)'!H107/'Formula Calculations (LOCKED)'!$H$2))+(0.25*10000000*('Formula Calculations (LOCKED)'!D107/'Formula Calculations (LOCKED)'!$D$2))+(0.25*10000000*('Formula Calculations (LOCKED)'!L107/'Formula Calculations (LOCKED)'!$L$2))</f>
        <v>#DIV/0!</v>
      </c>
      <c r="K107" s="29" t="e">
        <f>'Sheet 2. County Level Data'!$T$13+(0.25*10000000*('Formula Calculations (LOCKED)'!H107/'Formula Calculations (LOCKED)'!$H$2))+(0.25*10000000*('Formula Calculations (LOCKED)'!D107/'Formula Calculations (LOCKED)'!$D$2))+(0.25*10000000*('Formula Calculations (LOCKED)'!O107/'Formula Calculations (LOCKED)'!$O$2))</f>
        <v>#DIV/0!</v>
      </c>
      <c r="L107" s="29" t="e">
        <f>IF('Formula Calculations (LOCKED)'!$G107=1,('Sheet 2. County Level Data'!$P$12*('Formula Calculations (LOCKED)'!K107/'Formula Calculations (LOCKED)'!$K$2)),((10000000-'Sheet 2. County Level Data'!$P$12)*'Formula Calculations (LOCKED)'!J107/'Formula Calculations (LOCKED)'!$J$2))</f>
        <v>#DIV/0!</v>
      </c>
      <c r="M107" s="29" t="e">
        <f>IF('Formula Calculations (LOCKED)'!$G107=1,((0.5*'Sheet 2. County Level Data'!$P$12)*('Formula Calculations (LOCKED)'!K107/'Formula Calculations (LOCKED)'!$K$2))+((0.5*'Sheet 2. County Level Data'!$P$12)*('Formula Calculations (LOCKED)'!N107/'Formula Calculations (LOCKED)'!$N$2)),((0.5*(10000000-'Sheet 2. County Level Data'!$P$12))*('Formula Calculations (LOCKED)'!J107/'Formula Calculations (LOCKED)'!$J$2))+((0.5*(10000000-'Sheet 2. County Level Data'!$P$12))*('Formula Calculations (LOCKED)'!M107/'Formula Calculations (LOCKED)'!$M$2)))</f>
        <v>#DIV/0!</v>
      </c>
      <c r="N107" s="29" t="e">
        <f>IF('Formula Calculations (LOCKED)'!$G107=1,((0.5*'Sheet 2. County Level Data'!$P$12)*('Formula Calculations (LOCKED)'!K107/'Formula Calculations (LOCKED)'!$K$2))+((0.5*'Sheet 2. County Level Data'!$P$12)*('Formula Calculations (LOCKED)'!R107/'Formula Calculations (LOCKED)'!$R$2)),((0.5*(10000000-'Sheet 2. County Level Data'!$P$12))*('Formula Calculations (LOCKED)'!J107/'Formula Calculations (LOCKED)'!$J$2))+((0.5*(10000000-'Sheet 2. County Level Data'!$P$12))*('Formula Calculations (LOCKED)'!Q107/'Formula Calculations (LOCKED)'!$Q$2)))</f>
        <v>#DIV/0!</v>
      </c>
    </row>
    <row r="108" spans="1:14" x14ac:dyDescent="0.2">
      <c r="A108" s="7">
        <f>'Sheet 2. County Level Data'!A106</f>
        <v>0</v>
      </c>
      <c r="B108" s="29" t="e">
        <f>('Formula Calculations (LOCKED)'!C108*'Sheet 2. County Level Data'!$P$4)</f>
        <v>#DIV/0!</v>
      </c>
      <c r="C108" s="29" t="e">
        <f>'Formula Calculations (LOCKED)'!H108/'Formula Calculations (LOCKED)'!$H$2*'Sheet 2. County Level Data'!$P$4</f>
        <v>#DIV/0!</v>
      </c>
      <c r="D108" s="29" t="e">
        <f>('Formula Calculations (LOCKED)'!L108/'Formula Calculations (LOCKED)'!$L$2)*'Sheet 2. County Level Data'!$P$4</f>
        <v>#DIV/0!</v>
      </c>
      <c r="E108" s="29" t="e">
        <f>('Formula Calculations (LOCKED)'!O108/'Formula Calculations (LOCKED)'!$O$2)*'Sheet 2. County Level Data'!$P$4</f>
        <v>#DIV/0!</v>
      </c>
      <c r="F108" s="29" t="e">
        <f>('Formula Calculations (LOCKED)'!D108/'Formula Calculations (LOCKED)'!$D$2)*'Sheet 2. County Level Data'!$P$4</f>
        <v>#DIV/0!</v>
      </c>
      <c r="G108" s="29" t="e">
        <f>'Sheet 2. County Level Data'!$T$11+(0.5*10000000)*'Formula Calculations (LOCKED)'!H108/'Formula Calculations (LOCKED)'!$H$2</f>
        <v>#DIV/0!</v>
      </c>
      <c r="H108" s="29" t="e">
        <f>(0.5*10000000)*'Formula Calculations (LOCKED)'!H108/'Formula Calculations (LOCKED)'!$H$2+(0.5*10000000)*'Formula Calculations (LOCKED)'!D108/'Formula Calculations (LOCKED)'!$D$2</f>
        <v>#DIV/0!</v>
      </c>
      <c r="I108" s="7" t="e">
        <f>'Sheet 2. County Level Data'!$T$12+(0.3333333333*10000000*('Formula Calculations (LOCKED)'!H108/'Formula Calculations (LOCKED)'!$H$2))+(0.3333333333*10000000*('Formula Calculations (LOCKED)'!D108/'Formula Calculations (LOCKED)'!$D$2))</f>
        <v>#DIV/0!</v>
      </c>
      <c r="J108" s="29" t="e">
        <f>'Sheet 2. County Level Data'!$T$13+(0.25*10000000*('Formula Calculations (LOCKED)'!H108/'Formula Calculations (LOCKED)'!$H$2))+(0.25*10000000*('Formula Calculations (LOCKED)'!D108/'Formula Calculations (LOCKED)'!$D$2))+(0.25*10000000*('Formula Calculations (LOCKED)'!L108/'Formula Calculations (LOCKED)'!$L$2))</f>
        <v>#DIV/0!</v>
      </c>
      <c r="K108" s="29" t="e">
        <f>'Sheet 2. County Level Data'!$T$13+(0.25*10000000*('Formula Calculations (LOCKED)'!H108/'Formula Calculations (LOCKED)'!$H$2))+(0.25*10000000*('Formula Calculations (LOCKED)'!D108/'Formula Calculations (LOCKED)'!$D$2))+(0.25*10000000*('Formula Calculations (LOCKED)'!O108/'Formula Calculations (LOCKED)'!$O$2))</f>
        <v>#DIV/0!</v>
      </c>
      <c r="L108" s="29" t="e">
        <f>IF('Formula Calculations (LOCKED)'!$G108=1,('Sheet 2. County Level Data'!$P$12*('Formula Calculations (LOCKED)'!K108/'Formula Calculations (LOCKED)'!$K$2)),((10000000-'Sheet 2. County Level Data'!$P$12)*'Formula Calculations (LOCKED)'!J108/'Formula Calculations (LOCKED)'!$J$2))</f>
        <v>#DIV/0!</v>
      </c>
      <c r="M108" s="29" t="e">
        <f>IF('Formula Calculations (LOCKED)'!$G108=1,((0.5*'Sheet 2. County Level Data'!$P$12)*('Formula Calculations (LOCKED)'!K108/'Formula Calculations (LOCKED)'!$K$2))+((0.5*'Sheet 2. County Level Data'!$P$12)*('Formula Calculations (LOCKED)'!N108/'Formula Calculations (LOCKED)'!$N$2)),((0.5*(10000000-'Sheet 2. County Level Data'!$P$12))*('Formula Calculations (LOCKED)'!J108/'Formula Calculations (LOCKED)'!$J$2))+((0.5*(10000000-'Sheet 2. County Level Data'!$P$12))*('Formula Calculations (LOCKED)'!M108/'Formula Calculations (LOCKED)'!$M$2)))</f>
        <v>#DIV/0!</v>
      </c>
      <c r="N108" s="29" t="e">
        <f>IF('Formula Calculations (LOCKED)'!$G108=1,((0.5*'Sheet 2. County Level Data'!$P$12)*('Formula Calculations (LOCKED)'!K108/'Formula Calculations (LOCKED)'!$K$2))+((0.5*'Sheet 2. County Level Data'!$P$12)*('Formula Calculations (LOCKED)'!R108/'Formula Calculations (LOCKED)'!$R$2)),((0.5*(10000000-'Sheet 2. County Level Data'!$P$12))*('Formula Calculations (LOCKED)'!J108/'Formula Calculations (LOCKED)'!$J$2))+((0.5*(10000000-'Sheet 2. County Level Data'!$P$12))*('Formula Calculations (LOCKED)'!Q108/'Formula Calculations (LOCKED)'!$Q$2)))</f>
        <v>#DIV/0!</v>
      </c>
    </row>
    <row r="109" spans="1:14" x14ac:dyDescent="0.2">
      <c r="A109" s="7">
        <f>'Sheet 2. County Level Data'!A107</f>
        <v>0</v>
      </c>
      <c r="B109" s="29" t="e">
        <f>('Formula Calculations (LOCKED)'!C109*'Sheet 2. County Level Data'!$P$4)</f>
        <v>#DIV/0!</v>
      </c>
      <c r="C109" s="29" t="e">
        <f>'Formula Calculations (LOCKED)'!H109/'Formula Calculations (LOCKED)'!$H$2*'Sheet 2. County Level Data'!$P$4</f>
        <v>#DIV/0!</v>
      </c>
      <c r="D109" s="29" t="e">
        <f>('Formula Calculations (LOCKED)'!L109/'Formula Calculations (LOCKED)'!$L$2)*'Sheet 2. County Level Data'!$P$4</f>
        <v>#DIV/0!</v>
      </c>
      <c r="E109" s="29" t="e">
        <f>('Formula Calculations (LOCKED)'!O109/'Formula Calculations (LOCKED)'!$O$2)*'Sheet 2. County Level Data'!$P$4</f>
        <v>#DIV/0!</v>
      </c>
      <c r="F109" s="29" t="e">
        <f>('Formula Calculations (LOCKED)'!D109/'Formula Calculations (LOCKED)'!$D$2)*'Sheet 2. County Level Data'!$P$4</f>
        <v>#DIV/0!</v>
      </c>
      <c r="G109" s="29" t="e">
        <f>'Sheet 2. County Level Data'!$T$11+(0.5*10000000)*'Formula Calculations (LOCKED)'!H109/'Formula Calculations (LOCKED)'!$H$2</f>
        <v>#DIV/0!</v>
      </c>
      <c r="H109" s="29" t="e">
        <f>(0.5*10000000)*'Formula Calculations (LOCKED)'!H109/'Formula Calculations (LOCKED)'!$H$2+(0.5*10000000)*'Formula Calculations (LOCKED)'!D109/'Formula Calculations (LOCKED)'!$D$2</f>
        <v>#DIV/0!</v>
      </c>
      <c r="I109" s="7" t="e">
        <f>'Sheet 2. County Level Data'!$T$12+(0.3333333333*10000000*('Formula Calculations (LOCKED)'!H109/'Formula Calculations (LOCKED)'!$H$2))+(0.3333333333*10000000*('Formula Calculations (LOCKED)'!D109/'Formula Calculations (LOCKED)'!$D$2))</f>
        <v>#DIV/0!</v>
      </c>
      <c r="J109" s="29" t="e">
        <f>'Sheet 2. County Level Data'!$T$13+(0.25*10000000*('Formula Calculations (LOCKED)'!H109/'Formula Calculations (LOCKED)'!$H$2))+(0.25*10000000*('Formula Calculations (LOCKED)'!D109/'Formula Calculations (LOCKED)'!$D$2))+(0.25*10000000*('Formula Calculations (LOCKED)'!L109/'Formula Calculations (LOCKED)'!$L$2))</f>
        <v>#DIV/0!</v>
      </c>
      <c r="K109" s="29" t="e">
        <f>'Sheet 2. County Level Data'!$T$13+(0.25*10000000*('Formula Calculations (LOCKED)'!H109/'Formula Calculations (LOCKED)'!$H$2))+(0.25*10000000*('Formula Calculations (LOCKED)'!D109/'Formula Calculations (LOCKED)'!$D$2))+(0.25*10000000*('Formula Calculations (LOCKED)'!O109/'Formula Calculations (LOCKED)'!$O$2))</f>
        <v>#DIV/0!</v>
      </c>
      <c r="L109" s="29" t="e">
        <f>IF('Formula Calculations (LOCKED)'!$G109=1,('Sheet 2. County Level Data'!$P$12*('Formula Calculations (LOCKED)'!K109/'Formula Calculations (LOCKED)'!$K$2)),((10000000-'Sheet 2. County Level Data'!$P$12)*'Formula Calculations (LOCKED)'!J109/'Formula Calculations (LOCKED)'!$J$2))</f>
        <v>#DIV/0!</v>
      </c>
      <c r="M109" s="29" t="e">
        <f>IF('Formula Calculations (LOCKED)'!$G109=1,((0.5*'Sheet 2. County Level Data'!$P$12)*('Formula Calculations (LOCKED)'!K109/'Formula Calculations (LOCKED)'!$K$2))+((0.5*'Sheet 2. County Level Data'!$P$12)*('Formula Calculations (LOCKED)'!N109/'Formula Calculations (LOCKED)'!$N$2)),((0.5*(10000000-'Sheet 2. County Level Data'!$P$12))*('Formula Calculations (LOCKED)'!J109/'Formula Calculations (LOCKED)'!$J$2))+((0.5*(10000000-'Sheet 2. County Level Data'!$P$12))*('Formula Calculations (LOCKED)'!M109/'Formula Calculations (LOCKED)'!$M$2)))</f>
        <v>#DIV/0!</v>
      </c>
      <c r="N109" s="29" t="e">
        <f>IF('Formula Calculations (LOCKED)'!$G109=1,((0.5*'Sheet 2. County Level Data'!$P$12)*('Formula Calculations (LOCKED)'!K109/'Formula Calculations (LOCKED)'!$K$2))+((0.5*'Sheet 2. County Level Data'!$P$12)*('Formula Calculations (LOCKED)'!R109/'Formula Calculations (LOCKED)'!$R$2)),((0.5*(10000000-'Sheet 2. County Level Data'!$P$12))*('Formula Calculations (LOCKED)'!J109/'Formula Calculations (LOCKED)'!$J$2))+((0.5*(10000000-'Sheet 2. County Level Data'!$P$12))*('Formula Calculations (LOCKED)'!Q109/'Formula Calculations (LOCKED)'!$Q$2)))</f>
        <v>#DIV/0!</v>
      </c>
    </row>
    <row r="110" spans="1:14" x14ac:dyDescent="0.2">
      <c r="A110" s="7">
        <f>'Sheet 2. County Level Data'!A108</f>
        <v>0</v>
      </c>
      <c r="B110" s="29" t="e">
        <f>('Formula Calculations (LOCKED)'!C110*'Sheet 2. County Level Data'!$P$4)</f>
        <v>#DIV/0!</v>
      </c>
      <c r="C110" s="29" t="e">
        <f>'Formula Calculations (LOCKED)'!H110/'Formula Calculations (LOCKED)'!$H$2*'Sheet 2. County Level Data'!$P$4</f>
        <v>#DIV/0!</v>
      </c>
      <c r="D110" s="29" t="e">
        <f>('Formula Calculations (LOCKED)'!L110/'Formula Calculations (LOCKED)'!$L$2)*'Sheet 2. County Level Data'!$P$4</f>
        <v>#DIV/0!</v>
      </c>
      <c r="E110" s="29" t="e">
        <f>('Formula Calculations (LOCKED)'!O110/'Formula Calculations (LOCKED)'!$O$2)*'Sheet 2. County Level Data'!$P$4</f>
        <v>#DIV/0!</v>
      </c>
      <c r="F110" s="29" t="e">
        <f>('Formula Calculations (LOCKED)'!D110/'Formula Calculations (LOCKED)'!$D$2)*'Sheet 2. County Level Data'!$P$4</f>
        <v>#DIV/0!</v>
      </c>
      <c r="G110" s="29" t="e">
        <f>'Sheet 2. County Level Data'!$T$11+(0.5*10000000)*'Formula Calculations (LOCKED)'!H110/'Formula Calculations (LOCKED)'!$H$2</f>
        <v>#DIV/0!</v>
      </c>
      <c r="H110" s="29" t="e">
        <f>(0.5*10000000)*'Formula Calculations (LOCKED)'!H110/'Formula Calculations (LOCKED)'!$H$2+(0.5*10000000)*'Formula Calculations (LOCKED)'!D110/'Formula Calculations (LOCKED)'!$D$2</f>
        <v>#DIV/0!</v>
      </c>
      <c r="I110" s="7" t="e">
        <f>'Sheet 2. County Level Data'!$T$12+(0.3333333333*10000000*('Formula Calculations (LOCKED)'!H110/'Formula Calculations (LOCKED)'!$H$2))+(0.3333333333*10000000*('Formula Calculations (LOCKED)'!D110/'Formula Calculations (LOCKED)'!$D$2))</f>
        <v>#DIV/0!</v>
      </c>
      <c r="J110" s="29" t="e">
        <f>'Sheet 2. County Level Data'!$T$13+(0.25*10000000*('Formula Calculations (LOCKED)'!H110/'Formula Calculations (LOCKED)'!$H$2))+(0.25*10000000*('Formula Calculations (LOCKED)'!D110/'Formula Calculations (LOCKED)'!$D$2))+(0.25*10000000*('Formula Calculations (LOCKED)'!L110/'Formula Calculations (LOCKED)'!$L$2))</f>
        <v>#DIV/0!</v>
      </c>
      <c r="K110" s="29" t="e">
        <f>'Sheet 2. County Level Data'!$T$13+(0.25*10000000*('Formula Calculations (LOCKED)'!H110/'Formula Calculations (LOCKED)'!$H$2))+(0.25*10000000*('Formula Calculations (LOCKED)'!D110/'Formula Calculations (LOCKED)'!$D$2))+(0.25*10000000*('Formula Calculations (LOCKED)'!O110/'Formula Calculations (LOCKED)'!$O$2))</f>
        <v>#DIV/0!</v>
      </c>
      <c r="L110" s="29" t="e">
        <f>IF('Formula Calculations (LOCKED)'!$G110=1,('Sheet 2. County Level Data'!$P$12*('Formula Calculations (LOCKED)'!K110/'Formula Calculations (LOCKED)'!$K$2)),((10000000-'Sheet 2. County Level Data'!$P$12)*'Formula Calculations (LOCKED)'!J110/'Formula Calculations (LOCKED)'!$J$2))</f>
        <v>#DIV/0!</v>
      </c>
      <c r="M110" s="29" t="e">
        <f>IF('Formula Calculations (LOCKED)'!$G110=1,((0.5*'Sheet 2. County Level Data'!$P$12)*('Formula Calculations (LOCKED)'!K110/'Formula Calculations (LOCKED)'!$K$2))+((0.5*'Sheet 2. County Level Data'!$P$12)*('Formula Calculations (LOCKED)'!N110/'Formula Calculations (LOCKED)'!$N$2)),((0.5*(10000000-'Sheet 2. County Level Data'!$P$12))*('Formula Calculations (LOCKED)'!J110/'Formula Calculations (LOCKED)'!$J$2))+((0.5*(10000000-'Sheet 2. County Level Data'!$P$12))*('Formula Calculations (LOCKED)'!M110/'Formula Calculations (LOCKED)'!$M$2)))</f>
        <v>#DIV/0!</v>
      </c>
      <c r="N110" s="29" t="e">
        <f>IF('Formula Calculations (LOCKED)'!$G110=1,((0.5*'Sheet 2. County Level Data'!$P$12)*('Formula Calculations (LOCKED)'!K110/'Formula Calculations (LOCKED)'!$K$2))+((0.5*'Sheet 2. County Level Data'!$P$12)*('Formula Calculations (LOCKED)'!R110/'Formula Calculations (LOCKED)'!$R$2)),((0.5*(10000000-'Sheet 2. County Level Data'!$P$12))*('Formula Calculations (LOCKED)'!J110/'Formula Calculations (LOCKED)'!$J$2))+((0.5*(10000000-'Sheet 2. County Level Data'!$P$12))*('Formula Calculations (LOCKED)'!Q110/'Formula Calculations (LOCKED)'!$Q$2)))</f>
        <v>#DIV/0!</v>
      </c>
    </row>
    <row r="111" spans="1:14" x14ac:dyDescent="0.2">
      <c r="A111" s="7">
        <f>'Sheet 2. County Level Data'!A109</f>
        <v>0</v>
      </c>
      <c r="B111" s="29" t="e">
        <f>('Formula Calculations (LOCKED)'!C111*'Sheet 2. County Level Data'!$P$4)</f>
        <v>#DIV/0!</v>
      </c>
      <c r="C111" s="29" t="e">
        <f>'Formula Calculations (LOCKED)'!H111/'Formula Calculations (LOCKED)'!$H$2*'Sheet 2. County Level Data'!$P$4</f>
        <v>#DIV/0!</v>
      </c>
      <c r="D111" s="29" t="e">
        <f>('Formula Calculations (LOCKED)'!L111/'Formula Calculations (LOCKED)'!$L$2)*'Sheet 2. County Level Data'!$P$4</f>
        <v>#DIV/0!</v>
      </c>
      <c r="E111" s="29" t="e">
        <f>('Formula Calculations (LOCKED)'!O111/'Formula Calculations (LOCKED)'!$O$2)*'Sheet 2. County Level Data'!$P$4</f>
        <v>#DIV/0!</v>
      </c>
      <c r="F111" s="29" t="e">
        <f>('Formula Calculations (LOCKED)'!D111/'Formula Calculations (LOCKED)'!$D$2)*'Sheet 2. County Level Data'!$P$4</f>
        <v>#DIV/0!</v>
      </c>
      <c r="G111" s="29" t="e">
        <f>'Sheet 2. County Level Data'!$T$11+(0.5*10000000)*'Formula Calculations (LOCKED)'!H111/'Formula Calculations (LOCKED)'!$H$2</f>
        <v>#DIV/0!</v>
      </c>
      <c r="H111" s="29" t="e">
        <f>(0.5*10000000)*'Formula Calculations (LOCKED)'!H111/'Formula Calculations (LOCKED)'!$H$2+(0.5*10000000)*'Formula Calculations (LOCKED)'!D111/'Formula Calculations (LOCKED)'!$D$2</f>
        <v>#DIV/0!</v>
      </c>
      <c r="I111" s="7" t="e">
        <f>'Sheet 2. County Level Data'!$T$12+(0.3333333333*10000000*('Formula Calculations (LOCKED)'!H111/'Formula Calculations (LOCKED)'!$H$2))+(0.3333333333*10000000*('Formula Calculations (LOCKED)'!D111/'Formula Calculations (LOCKED)'!$D$2))</f>
        <v>#DIV/0!</v>
      </c>
      <c r="J111" s="29" t="e">
        <f>'Sheet 2. County Level Data'!$T$13+(0.25*10000000*('Formula Calculations (LOCKED)'!H111/'Formula Calculations (LOCKED)'!$H$2))+(0.25*10000000*('Formula Calculations (LOCKED)'!D111/'Formula Calculations (LOCKED)'!$D$2))+(0.25*10000000*('Formula Calculations (LOCKED)'!L111/'Formula Calculations (LOCKED)'!$L$2))</f>
        <v>#DIV/0!</v>
      </c>
      <c r="K111" s="29" t="e">
        <f>'Sheet 2. County Level Data'!$T$13+(0.25*10000000*('Formula Calculations (LOCKED)'!H111/'Formula Calculations (LOCKED)'!$H$2))+(0.25*10000000*('Formula Calculations (LOCKED)'!D111/'Formula Calculations (LOCKED)'!$D$2))+(0.25*10000000*('Formula Calculations (LOCKED)'!O111/'Formula Calculations (LOCKED)'!$O$2))</f>
        <v>#DIV/0!</v>
      </c>
      <c r="L111" s="29" t="e">
        <f>IF('Formula Calculations (LOCKED)'!$G111=1,('Sheet 2. County Level Data'!$P$12*('Formula Calculations (LOCKED)'!K111/'Formula Calculations (LOCKED)'!$K$2)),((10000000-'Sheet 2. County Level Data'!$P$12)*'Formula Calculations (LOCKED)'!J111/'Formula Calculations (LOCKED)'!$J$2))</f>
        <v>#DIV/0!</v>
      </c>
      <c r="M111" s="29" t="e">
        <f>IF('Formula Calculations (LOCKED)'!$G111=1,((0.5*'Sheet 2. County Level Data'!$P$12)*('Formula Calculations (LOCKED)'!K111/'Formula Calculations (LOCKED)'!$K$2))+((0.5*'Sheet 2. County Level Data'!$P$12)*('Formula Calculations (LOCKED)'!N111/'Formula Calculations (LOCKED)'!$N$2)),((0.5*(10000000-'Sheet 2. County Level Data'!$P$12))*('Formula Calculations (LOCKED)'!J111/'Formula Calculations (LOCKED)'!$J$2))+((0.5*(10000000-'Sheet 2. County Level Data'!$P$12))*('Formula Calculations (LOCKED)'!M111/'Formula Calculations (LOCKED)'!$M$2)))</f>
        <v>#DIV/0!</v>
      </c>
      <c r="N111" s="29" t="e">
        <f>IF('Formula Calculations (LOCKED)'!$G111=1,((0.5*'Sheet 2. County Level Data'!$P$12)*('Formula Calculations (LOCKED)'!K111/'Formula Calculations (LOCKED)'!$K$2))+((0.5*'Sheet 2. County Level Data'!$P$12)*('Formula Calculations (LOCKED)'!R111/'Formula Calculations (LOCKED)'!$R$2)),((0.5*(10000000-'Sheet 2. County Level Data'!$P$12))*('Formula Calculations (LOCKED)'!J111/'Formula Calculations (LOCKED)'!$J$2))+((0.5*(10000000-'Sheet 2. County Level Data'!$P$12))*('Formula Calculations (LOCKED)'!Q111/'Formula Calculations (LOCKED)'!$Q$2)))</f>
        <v>#DIV/0!</v>
      </c>
    </row>
    <row r="112" spans="1:14" x14ac:dyDescent="0.2">
      <c r="A112" s="7">
        <f>'Sheet 2. County Level Data'!A110</f>
        <v>0</v>
      </c>
      <c r="B112" s="29" t="e">
        <f>('Formula Calculations (LOCKED)'!C112*'Sheet 2. County Level Data'!$P$4)</f>
        <v>#DIV/0!</v>
      </c>
      <c r="C112" s="29" t="e">
        <f>'Formula Calculations (LOCKED)'!H112/'Formula Calculations (LOCKED)'!$H$2*'Sheet 2. County Level Data'!$P$4</f>
        <v>#DIV/0!</v>
      </c>
      <c r="D112" s="29" t="e">
        <f>('Formula Calculations (LOCKED)'!L112/'Formula Calculations (LOCKED)'!$L$2)*'Sheet 2. County Level Data'!$P$4</f>
        <v>#DIV/0!</v>
      </c>
      <c r="E112" s="29" t="e">
        <f>('Formula Calculations (LOCKED)'!O112/'Formula Calculations (LOCKED)'!$O$2)*'Sheet 2. County Level Data'!$P$4</f>
        <v>#DIV/0!</v>
      </c>
      <c r="F112" s="29" t="e">
        <f>('Formula Calculations (LOCKED)'!D112/'Formula Calculations (LOCKED)'!$D$2)*'Sheet 2. County Level Data'!$P$4</f>
        <v>#DIV/0!</v>
      </c>
      <c r="G112" s="29" t="e">
        <f>'Sheet 2. County Level Data'!$T$11+(0.5*10000000)*'Formula Calculations (LOCKED)'!H112/'Formula Calculations (LOCKED)'!$H$2</f>
        <v>#DIV/0!</v>
      </c>
      <c r="H112" s="29" t="e">
        <f>(0.5*10000000)*'Formula Calculations (LOCKED)'!H112/'Formula Calculations (LOCKED)'!$H$2+(0.5*10000000)*'Formula Calculations (LOCKED)'!D112/'Formula Calculations (LOCKED)'!$D$2</f>
        <v>#DIV/0!</v>
      </c>
      <c r="I112" s="7" t="e">
        <f>'Sheet 2. County Level Data'!$T$12+(0.3333333333*10000000*('Formula Calculations (LOCKED)'!H112/'Formula Calculations (LOCKED)'!$H$2))+(0.3333333333*10000000*('Formula Calculations (LOCKED)'!D112/'Formula Calculations (LOCKED)'!$D$2))</f>
        <v>#DIV/0!</v>
      </c>
      <c r="J112" s="29" t="e">
        <f>'Sheet 2. County Level Data'!$T$13+(0.25*10000000*('Formula Calculations (LOCKED)'!H112/'Formula Calculations (LOCKED)'!$H$2))+(0.25*10000000*('Formula Calculations (LOCKED)'!D112/'Formula Calculations (LOCKED)'!$D$2))+(0.25*10000000*('Formula Calculations (LOCKED)'!L112/'Formula Calculations (LOCKED)'!$L$2))</f>
        <v>#DIV/0!</v>
      </c>
      <c r="K112" s="29" t="e">
        <f>'Sheet 2. County Level Data'!$T$13+(0.25*10000000*('Formula Calculations (LOCKED)'!H112/'Formula Calculations (LOCKED)'!$H$2))+(0.25*10000000*('Formula Calculations (LOCKED)'!D112/'Formula Calculations (LOCKED)'!$D$2))+(0.25*10000000*('Formula Calculations (LOCKED)'!O112/'Formula Calculations (LOCKED)'!$O$2))</f>
        <v>#DIV/0!</v>
      </c>
      <c r="L112" s="29" t="e">
        <f>IF('Formula Calculations (LOCKED)'!$G112=1,('Sheet 2. County Level Data'!$P$12*('Formula Calculations (LOCKED)'!K112/'Formula Calculations (LOCKED)'!$K$2)),((10000000-'Sheet 2. County Level Data'!$P$12)*'Formula Calculations (LOCKED)'!J112/'Formula Calculations (LOCKED)'!$J$2))</f>
        <v>#DIV/0!</v>
      </c>
      <c r="M112" s="29" t="e">
        <f>IF('Formula Calculations (LOCKED)'!$G112=1,((0.5*'Sheet 2. County Level Data'!$P$12)*('Formula Calculations (LOCKED)'!K112/'Formula Calculations (LOCKED)'!$K$2))+((0.5*'Sheet 2. County Level Data'!$P$12)*('Formula Calculations (LOCKED)'!N112/'Formula Calculations (LOCKED)'!$N$2)),((0.5*(10000000-'Sheet 2. County Level Data'!$P$12))*('Formula Calculations (LOCKED)'!J112/'Formula Calculations (LOCKED)'!$J$2))+((0.5*(10000000-'Sheet 2. County Level Data'!$P$12))*('Formula Calculations (LOCKED)'!M112/'Formula Calculations (LOCKED)'!$M$2)))</f>
        <v>#DIV/0!</v>
      </c>
      <c r="N112" s="29" t="e">
        <f>IF('Formula Calculations (LOCKED)'!$G112=1,((0.5*'Sheet 2. County Level Data'!$P$12)*('Formula Calculations (LOCKED)'!K112/'Formula Calculations (LOCKED)'!$K$2))+((0.5*'Sheet 2. County Level Data'!$P$12)*('Formula Calculations (LOCKED)'!R112/'Formula Calculations (LOCKED)'!$R$2)),((0.5*(10000000-'Sheet 2. County Level Data'!$P$12))*('Formula Calculations (LOCKED)'!J112/'Formula Calculations (LOCKED)'!$J$2))+((0.5*(10000000-'Sheet 2. County Level Data'!$P$12))*('Formula Calculations (LOCKED)'!Q112/'Formula Calculations (LOCKED)'!$Q$2)))</f>
        <v>#DIV/0!</v>
      </c>
    </row>
    <row r="113" spans="1:14" x14ac:dyDescent="0.2">
      <c r="A113" s="7">
        <f>'Sheet 2. County Level Data'!A111</f>
        <v>0</v>
      </c>
      <c r="B113" s="29" t="e">
        <f>('Formula Calculations (LOCKED)'!C113*'Sheet 2. County Level Data'!$P$4)</f>
        <v>#DIV/0!</v>
      </c>
      <c r="C113" s="29" t="e">
        <f>'Formula Calculations (LOCKED)'!H113/'Formula Calculations (LOCKED)'!$H$2*'Sheet 2. County Level Data'!$P$4</f>
        <v>#DIV/0!</v>
      </c>
      <c r="D113" s="29" t="e">
        <f>('Formula Calculations (LOCKED)'!L113/'Formula Calculations (LOCKED)'!$L$2)*'Sheet 2. County Level Data'!$P$4</f>
        <v>#DIV/0!</v>
      </c>
      <c r="E113" s="29" t="e">
        <f>('Formula Calculations (LOCKED)'!O113/'Formula Calculations (LOCKED)'!$O$2)*'Sheet 2. County Level Data'!$P$4</f>
        <v>#DIV/0!</v>
      </c>
      <c r="F113" s="29" t="e">
        <f>('Formula Calculations (LOCKED)'!D113/'Formula Calculations (LOCKED)'!$D$2)*'Sheet 2. County Level Data'!$P$4</f>
        <v>#DIV/0!</v>
      </c>
      <c r="G113" s="29" t="e">
        <f>'Sheet 2. County Level Data'!$T$11+(0.5*10000000)*'Formula Calculations (LOCKED)'!H113/'Formula Calculations (LOCKED)'!$H$2</f>
        <v>#DIV/0!</v>
      </c>
      <c r="H113" s="29" t="e">
        <f>(0.5*10000000)*'Formula Calculations (LOCKED)'!H113/'Formula Calculations (LOCKED)'!$H$2+(0.5*10000000)*'Formula Calculations (LOCKED)'!D113/'Formula Calculations (LOCKED)'!$D$2</f>
        <v>#DIV/0!</v>
      </c>
      <c r="I113" s="7" t="e">
        <f>'Sheet 2. County Level Data'!$T$12+(0.3333333333*10000000*('Formula Calculations (LOCKED)'!H113/'Formula Calculations (LOCKED)'!$H$2))+(0.3333333333*10000000*('Formula Calculations (LOCKED)'!D113/'Formula Calculations (LOCKED)'!$D$2))</f>
        <v>#DIV/0!</v>
      </c>
      <c r="J113" s="29" t="e">
        <f>'Sheet 2. County Level Data'!$T$13+(0.25*10000000*('Formula Calculations (LOCKED)'!H113/'Formula Calculations (LOCKED)'!$H$2))+(0.25*10000000*('Formula Calculations (LOCKED)'!D113/'Formula Calculations (LOCKED)'!$D$2))+(0.25*10000000*('Formula Calculations (LOCKED)'!L113/'Formula Calculations (LOCKED)'!$L$2))</f>
        <v>#DIV/0!</v>
      </c>
      <c r="K113" s="29" t="e">
        <f>'Sheet 2. County Level Data'!$T$13+(0.25*10000000*('Formula Calculations (LOCKED)'!H113/'Formula Calculations (LOCKED)'!$H$2))+(0.25*10000000*('Formula Calculations (LOCKED)'!D113/'Formula Calculations (LOCKED)'!$D$2))+(0.25*10000000*('Formula Calculations (LOCKED)'!O113/'Formula Calculations (LOCKED)'!$O$2))</f>
        <v>#DIV/0!</v>
      </c>
      <c r="L113" s="29" t="e">
        <f>IF('Formula Calculations (LOCKED)'!$G113=1,('Sheet 2. County Level Data'!$P$12*('Formula Calculations (LOCKED)'!K113/'Formula Calculations (LOCKED)'!$K$2)),((10000000-'Sheet 2. County Level Data'!$P$12)*'Formula Calculations (LOCKED)'!J113/'Formula Calculations (LOCKED)'!$J$2))</f>
        <v>#DIV/0!</v>
      </c>
      <c r="M113" s="29" t="e">
        <f>IF('Formula Calculations (LOCKED)'!$G113=1,((0.5*'Sheet 2. County Level Data'!$P$12)*('Formula Calculations (LOCKED)'!K113/'Formula Calculations (LOCKED)'!$K$2))+((0.5*'Sheet 2. County Level Data'!$P$12)*('Formula Calculations (LOCKED)'!N113/'Formula Calculations (LOCKED)'!$N$2)),((0.5*(10000000-'Sheet 2. County Level Data'!$P$12))*('Formula Calculations (LOCKED)'!J113/'Formula Calculations (LOCKED)'!$J$2))+((0.5*(10000000-'Sheet 2. County Level Data'!$P$12))*('Formula Calculations (LOCKED)'!M113/'Formula Calculations (LOCKED)'!$M$2)))</f>
        <v>#DIV/0!</v>
      </c>
      <c r="N113" s="29" t="e">
        <f>IF('Formula Calculations (LOCKED)'!$G113=1,((0.5*'Sheet 2. County Level Data'!$P$12)*('Formula Calculations (LOCKED)'!K113/'Formula Calculations (LOCKED)'!$K$2))+((0.5*'Sheet 2. County Level Data'!$P$12)*('Formula Calculations (LOCKED)'!R113/'Formula Calculations (LOCKED)'!$R$2)),((0.5*(10000000-'Sheet 2. County Level Data'!$P$12))*('Formula Calculations (LOCKED)'!J113/'Formula Calculations (LOCKED)'!$J$2))+((0.5*(10000000-'Sheet 2. County Level Data'!$P$12))*('Formula Calculations (LOCKED)'!Q113/'Formula Calculations (LOCKED)'!$Q$2)))</f>
        <v>#DIV/0!</v>
      </c>
    </row>
    <row r="114" spans="1:14" x14ac:dyDescent="0.2">
      <c r="A114" s="7">
        <f>'Sheet 2. County Level Data'!A112</f>
        <v>0</v>
      </c>
      <c r="B114" s="29" t="e">
        <f>('Formula Calculations (LOCKED)'!C114*'Sheet 2. County Level Data'!$P$4)</f>
        <v>#DIV/0!</v>
      </c>
      <c r="C114" s="29" t="e">
        <f>'Formula Calculations (LOCKED)'!H114/'Formula Calculations (LOCKED)'!$H$2*'Sheet 2. County Level Data'!$P$4</f>
        <v>#DIV/0!</v>
      </c>
      <c r="D114" s="29" t="e">
        <f>('Formula Calculations (LOCKED)'!L114/'Formula Calculations (LOCKED)'!$L$2)*'Sheet 2. County Level Data'!$P$4</f>
        <v>#DIV/0!</v>
      </c>
      <c r="E114" s="29" t="e">
        <f>('Formula Calculations (LOCKED)'!O114/'Formula Calculations (LOCKED)'!$O$2)*'Sheet 2. County Level Data'!$P$4</f>
        <v>#DIV/0!</v>
      </c>
      <c r="F114" s="29" t="e">
        <f>('Formula Calculations (LOCKED)'!D114/'Formula Calculations (LOCKED)'!$D$2)*'Sheet 2. County Level Data'!$P$4</f>
        <v>#DIV/0!</v>
      </c>
      <c r="G114" s="29" t="e">
        <f>'Sheet 2. County Level Data'!$T$11+(0.5*10000000)*'Formula Calculations (LOCKED)'!H114/'Formula Calculations (LOCKED)'!$H$2</f>
        <v>#DIV/0!</v>
      </c>
      <c r="H114" s="29" t="e">
        <f>(0.5*10000000)*'Formula Calculations (LOCKED)'!H114/'Formula Calculations (LOCKED)'!$H$2+(0.5*10000000)*'Formula Calculations (LOCKED)'!D114/'Formula Calculations (LOCKED)'!$D$2</f>
        <v>#DIV/0!</v>
      </c>
      <c r="I114" s="7" t="e">
        <f>'Sheet 2. County Level Data'!$T$12+(0.3333333333*10000000*('Formula Calculations (LOCKED)'!H114/'Formula Calculations (LOCKED)'!$H$2))+(0.3333333333*10000000*('Formula Calculations (LOCKED)'!D114/'Formula Calculations (LOCKED)'!$D$2))</f>
        <v>#DIV/0!</v>
      </c>
      <c r="J114" s="29" t="e">
        <f>'Sheet 2. County Level Data'!$T$13+(0.25*10000000*('Formula Calculations (LOCKED)'!H114/'Formula Calculations (LOCKED)'!$H$2))+(0.25*10000000*('Formula Calculations (LOCKED)'!D114/'Formula Calculations (LOCKED)'!$D$2))+(0.25*10000000*('Formula Calculations (LOCKED)'!L114/'Formula Calculations (LOCKED)'!$L$2))</f>
        <v>#DIV/0!</v>
      </c>
      <c r="K114" s="29" t="e">
        <f>'Sheet 2. County Level Data'!$T$13+(0.25*10000000*('Formula Calculations (LOCKED)'!H114/'Formula Calculations (LOCKED)'!$H$2))+(0.25*10000000*('Formula Calculations (LOCKED)'!D114/'Formula Calculations (LOCKED)'!$D$2))+(0.25*10000000*('Formula Calculations (LOCKED)'!O114/'Formula Calculations (LOCKED)'!$O$2))</f>
        <v>#DIV/0!</v>
      </c>
      <c r="L114" s="29" t="e">
        <f>IF('Formula Calculations (LOCKED)'!$G114=1,('Sheet 2. County Level Data'!$P$12*('Formula Calculations (LOCKED)'!K114/'Formula Calculations (LOCKED)'!$K$2)),((10000000-'Sheet 2. County Level Data'!$P$12)*'Formula Calculations (LOCKED)'!J114/'Formula Calculations (LOCKED)'!$J$2))</f>
        <v>#DIV/0!</v>
      </c>
      <c r="M114" s="29" t="e">
        <f>IF('Formula Calculations (LOCKED)'!$G114=1,((0.5*'Sheet 2. County Level Data'!$P$12)*('Formula Calculations (LOCKED)'!K114/'Formula Calculations (LOCKED)'!$K$2))+((0.5*'Sheet 2. County Level Data'!$P$12)*('Formula Calculations (LOCKED)'!N114/'Formula Calculations (LOCKED)'!$N$2)),((0.5*(10000000-'Sheet 2. County Level Data'!$P$12))*('Formula Calculations (LOCKED)'!J114/'Formula Calculations (LOCKED)'!$J$2))+((0.5*(10000000-'Sheet 2. County Level Data'!$P$12))*('Formula Calculations (LOCKED)'!M114/'Formula Calculations (LOCKED)'!$M$2)))</f>
        <v>#DIV/0!</v>
      </c>
      <c r="N114" s="29" t="e">
        <f>IF('Formula Calculations (LOCKED)'!$G114=1,((0.5*'Sheet 2. County Level Data'!$P$12)*('Formula Calculations (LOCKED)'!K114/'Formula Calculations (LOCKED)'!$K$2))+((0.5*'Sheet 2. County Level Data'!$P$12)*('Formula Calculations (LOCKED)'!R114/'Formula Calculations (LOCKED)'!$R$2)),((0.5*(10000000-'Sheet 2. County Level Data'!$P$12))*('Formula Calculations (LOCKED)'!J114/'Formula Calculations (LOCKED)'!$J$2))+((0.5*(10000000-'Sheet 2. County Level Data'!$P$12))*('Formula Calculations (LOCKED)'!Q114/'Formula Calculations (LOCKED)'!$Q$2)))</f>
        <v>#DIV/0!</v>
      </c>
    </row>
    <row r="115" spans="1:14" x14ac:dyDescent="0.2">
      <c r="A115" s="7">
        <f>'Sheet 2. County Level Data'!A113</f>
        <v>0</v>
      </c>
      <c r="B115" s="29" t="e">
        <f>('Formula Calculations (LOCKED)'!C115*'Sheet 2. County Level Data'!$P$4)</f>
        <v>#DIV/0!</v>
      </c>
      <c r="C115" s="29" t="e">
        <f>'Formula Calculations (LOCKED)'!H115/'Formula Calculations (LOCKED)'!$H$2*'Sheet 2. County Level Data'!$P$4</f>
        <v>#DIV/0!</v>
      </c>
      <c r="D115" s="29" t="e">
        <f>('Formula Calculations (LOCKED)'!L115/'Formula Calculations (LOCKED)'!$L$2)*'Sheet 2. County Level Data'!$P$4</f>
        <v>#DIV/0!</v>
      </c>
      <c r="E115" s="29" t="e">
        <f>('Formula Calculations (LOCKED)'!O115/'Formula Calculations (LOCKED)'!$O$2)*'Sheet 2. County Level Data'!$P$4</f>
        <v>#DIV/0!</v>
      </c>
      <c r="F115" s="29" t="e">
        <f>('Formula Calculations (LOCKED)'!D115/'Formula Calculations (LOCKED)'!$D$2)*'Sheet 2. County Level Data'!$P$4</f>
        <v>#DIV/0!</v>
      </c>
      <c r="G115" s="29" t="e">
        <f>'Sheet 2. County Level Data'!$T$11+(0.5*10000000)*'Formula Calculations (LOCKED)'!H115/'Formula Calculations (LOCKED)'!$H$2</f>
        <v>#DIV/0!</v>
      </c>
      <c r="H115" s="29" t="e">
        <f>(0.5*10000000)*'Formula Calculations (LOCKED)'!H115/'Formula Calculations (LOCKED)'!$H$2+(0.5*10000000)*'Formula Calculations (LOCKED)'!D115/'Formula Calculations (LOCKED)'!$D$2</f>
        <v>#DIV/0!</v>
      </c>
      <c r="I115" s="7" t="e">
        <f>'Sheet 2. County Level Data'!$T$12+(0.3333333333*10000000*('Formula Calculations (LOCKED)'!H115/'Formula Calculations (LOCKED)'!$H$2))+(0.3333333333*10000000*('Formula Calculations (LOCKED)'!D115/'Formula Calculations (LOCKED)'!$D$2))</f>
        <v>#DIV/0!</v>
      </c>
      <c r="J115" s="29" t="e">
        <f>'Sheet 2. County Level Data'!$T$13+(0.25*10000000*('Formula Calculations (LOCKED)'!H115/'Formula Calculations (LOCKED)'!$H$2))+(0.25*10000000*('Formula Calculations (LOCKED)'!D115/'Formula Calculations (LOCKED)'!$D$2))+(0.25*10000000*('Formula Calculations (LOCKED)'!L115/'Formula Calculations (LOCKED)'!$L$2))</f>
        <v>#DIV/0!</v>
      </c>
      <c r="K115" s="29" t="e">
        <f>'Sheet 2. County Level Data'!$T$13+(0.25*10000000*('Formula Calculations (LOCKED)'!H115/'Formula Calculations (LOCKED)'!$H$2))+(0.25*10000000*('Formula Calculations (LOCKED)'!D115/'Formula Calculations (LOCKED)'!$D$2))+(0.25*10000000*('Formula Calculations (LOCKED)'!O115/'Formula Calculations (LOCKED)'!$O$2))</f>
        <v>#DIV/0!</v>
      </c>
      <c r="L115" s="29" t="e">
        <f>IF('Formula Calculations (LOCKED)'!$G115=1,('Sheet 2. County Level Data'!$P$12*('Formula Calculations (LOCKED)'!K115/'Formula Calculations (LOCKED)'!$K$2)),((10000000-'Sheet 2. County Level Data'!$P$12)*'Formula Calculations (LOCKED)'!J115/'Formula Calculations (LOCKED)'!$J$2))</f>
        <v>#DIV/0!</v>
      </c>
      <c r="M115" s="29" t="e">
        <f>IF('Formula Calculations (LOCKED)'!$G115=1,((0.5*'Sheet 2. County Level Data'!$P$12)*('Formula Calculations (LOCKED)'!K115/'Formula Calculations (LOCKED)'!$K$2))+((0.5*'Sheet 2. County Level Data'!$P$12)*('Formula Calculations (LOCKED)'!N115/'Formula Calculations (LOCKED)'!$N$2)),((0.5*(10000000-'Sheet 2. County Level Data'!$P$12))*('Formula Calculations (LOCKED)'!J115/'Formula Calculations (LOCKED)'!$J$2))+((0.5*(10000000-'Sheet 2. County Level Data'!$P$12))*('Formula Calculations (LOCKED)'!M115/'Formula Calculations (LOCKED)'!$M$2)))</f>
        <v>#DIV/0!</v>
      </c>
      <c r="N115" s="29" t="e">
        <f>IF('Formula Calculations (LOCKED)'!$G115=1,((0.5*'Sheet 2. County Level Data'!$P$12)*('Formula Calculations (LOCKED)'!K115/'Formula Calculations (LOCKED)'!$K$2))+((0.5*'Sheet 2. County Level Data'!$P$12)*('Formula Calculations (LOCKED)'!R115/'Formula Calculations (LOCKED)'!$R$2)),((0.5*(10000000-'Sheet 2. County Level Data'!$P$12))*('Formula Calculations (LOCKED)'!J115/'Formula Calculations (LOCKED)'!$J$2))+((0.5*(10000000-'Sheet 2. County Level Data'!$P$12))*('Formula Calculations (LOCKED)'!Q115/'Formula Calculations (LOCKED)'!$Q$2)))</f>
        <v>#DIV/0!</v>
      </c>
    </row>
    <row r="116" spans="1:14" x14ac:dyDescent="0.2">
      <c r="A116" s="7">
        <f>'Sheet 2. County Level Data'!A114</f>
        <v>0</v>
      </c>
      <c r="B116" s="29" t="e">
        <f>('Formula Calculations (LOCKED)'!C116*'Sheet 2. County Level Data'!$P$4)</f>
        <v>#DIV/0!</v>
      </c>
      <c r="C116" s="29" t="e">
        <f>'Formula Calculations (LOCKED)'!H116/'Formula Calculations (LOCKED)'!$H$2*'Sheet 2. County Level Data'!$P$4</f>
        <v>#DIV/0!</v>
      </c>
      <c r="D116" s="29" t="e">
        <f>('Formula Calculations (LOCKED)'!L116/'Formula Calculations (LOCKED)'!$L$2)*'Sheet 2. County Level Data'!$P$4</f>
        <v>#DIV/0!</v>
      </c>
      <c r="E116" s="29" t="e">
        <f>('Formula Calculations (LOCKED)'!O116/'Formula Calculations (LOCKED)'!$O$2)*'Sheet 2. County Level Data'!$P$4</f>
        <v>#DIV/0!</v>
      </c>
      <c r="F116" s="29" t="e">
        <f>('Formula Calculations (LOCKED)'!D116/'Formula Calculations (LOCKED)'!$D$2)*'Sheet 2. County Level Data'!$P$4</f>
        <v>#DIV/0!</v>
      </c>
      <c r="G116" s="29" t="e">
        <f>'Sheet 2. County Level Data'!$T$11+(0.5*10000000)*'Formula Calculations (LOCKED)'!H116/'Formula Calculations (LOCKED)'!$H$2</f>
        <v>#DIV/0!</v>
      </c>
      <c r="H116" s="29" t="e">
        <f>(0.5*10000000)*'Formula Calculations (LOCKED)'!H116/'Formula Calculations (LOCKED)'!$H$2+(0.5*10000000)*'Formula Calculations (LOCKED)'!D116/'Formula Calculations (LOCKED)'!$D$2</f>
        <v>#DIV/0!</v>
      </c>
      <c r="I116" s="7" t="e">
        <f>'Sheet 2. County Level Data'!$T$12+(0.3333333333*10000000*('Formula Calculations (LOCKED)'!H116/'Formula Calculations (LOCKED)'!$H$2))+(0.3333333333*10000000*('Formula Calculations (LOCKED)'!D116/'Formula Calculations (LOCKED)'!$D$2))</f>
        <v>#DIV/0!</v>
      </c>
      <c r="J116" s="29" t="e">
        <f>'Sheet 2. County Level Data'!$T$13+(0.25*10000000*('Formula Calculations (LOCKED)'!H116/'Formula Calculations (LOCKED)'!$H$2))+(0.25*10000000*('Formula Calculations (LOCKED)'!D116/'Formula Calculations (LOCKED)'!$D$2))+(0.25*10000000*('Formula Calculations (LOCKED)'!L116/'Formula Calculations (LOCKED)'!$L$2))</f>
        <v>#DIV/0!</v>
      </c>
      <c r="K116" s="29" t="e">
        <f>'Sheet 2. County Level Data'!$T$13+(0.25*10000000*('Formula Calculations (LOCKED)'!H116/'Formula Calculations (LOCKED)'!$H$2))+(0.25*10000000*('Formula Calculations (LOCKED)'!D116/'Formula Calculations (LOCKED)'!$D$2))+(0.25*10000000*('Formula Calculations (LOCKED)'!O116/'Formula Calculations (LOCKED)'!$O$2))</f>
        <v>#DIV/0!</v>
      </c>
      <c r="L116" s="29" t="e">
        <f>IF('Formula Calculations (LOCKED)'!$G116=1,('Sheet 2. County Level Data'!$P$12*('Formula Calculations (LOCKED)'!K116/'Formula Calculations (LOCKED)'!$K$2)),((10000000-'Sheet 2. County Level Data'!$P$12)*'Formula Calculations (LOCKED)'!J116/'Formula Calculations (LOCKED)'!$J$2))</f>
        <v>#DIV/0!</v>
      </c>
      <c r="M116" s="29" t="e">
        <f>IF('Formula Calculations (LOCKED)'!$G116=1,((0.5*'Sheet 2. County Level Data'!$P$12)*('Formula Calculations (LOCKED)'!K116/'Formula Calculations (LOCKED)'!$K$2))+((0.5*'Sheet 2. County Level Data'!$P$12)*('Formula Calculations (LOCKED)'!N116/'Formula Calculations (LOCKED)'!$N$2)),((0.5*(10000000-'Sheet 2. County Level Data'!$P$12))*('Formula Calculations (LOCKED)'!J116/'Formula Calculations (LOCKED)'!$J$2))+((0.5*(10000000-'Sheet 2. County Level Data'!$P$12))*('Formula Calculations (LOCKED)'!M116/'Formula Calculations (LOCKED)'!$M$2)))</f>
        <v>#DIV/0!</v>
      </c>
      <c r="N116" s="29" t="e">
        <f>IF('Formula Calculations (LOCKED)'!$G116=1,((0.5*'Sheet 2. County Level Data'!$P$12)*('Formula Calculations (LOCKED)'!K116/'Formula Calculations (LOCKED)'!$K$2))+((0.5*'Sheet 2. County Level Data'!$P$12)*('Formula Calculations (LOCKED)'!R116/'Formula Calculations (LOCKED)'!$R$2)),((0.5*(10000000-'Sheet 2. County Level Data'!$P$12))*('Formula Calculations (LOCKED)'!J116/'Formula Calculations (LOCKED)'!$J$2))+((0.5*(10000000-'Sheet 2. County Level Data'!$P$12))*('Formula Calculations (LOCKED)'!Q116/'Formula Calculations (LOCKED)'!$Q$2)))</f>
        <v>#DIV/0!</v>
      </c>
    </row>
    <row r="117" spans="1:14" x14ac:dyDescent="0.2">
      <c r="A117" s="7">
        <f>'Sheet 2. County Level Data'!A115</f>
        <v>0</v>
      </c>
      <c r="B117" s="29" t="e">
        <f>('Formula Calculations (LOCKED)'!C117*'Sheet 2. County Level Data'!$P$4)</f>
        <v>#DIV/0!</v>
      </c>
      <c r="C117" s="29" t="e">
        <f>'Formula Calculations (LOCKED)'!H117/'Formula Calculations (LOCKED)'!$H$2*'Sheet 2. County Level Data'!$P$4</f>
        <v>#DIV/0!</v>
      </c>
      <c r="D117" s="29" t="e">
        <f>('Formula Calculations (LOCKED)'!L117/'Formula Calculations (LOCKED)'!$L$2)*'Sheet 2. County Level Data'!$P$4</f>
        <v>#DIV/0!</v>
      </c>
      <c r="E117" s="29" t="e">
        <f>('Formula Calculations (LOCKED)'!O117/'Formula Calculations (LOCKED)'!$O$2)*'Sheet 2. County Level Data'!$P$4</f>
        <v>#DIV/0!</v>
      </c>
      <c r="F117" s="29" t="e">
        <f>('Formula Calculations (LOCKED)'!D117/'Formula Calculations (LOCKED)'!$D$2)*'Sheet 2. County Level Data'!$P$4</f>
        <v>#DIV/0!</v>
      </c>
      <c r="G117" s="29" t="e">
        <f>'Sheet 2. County Level Data'!$T$11+(0.5*10000000)*'Formula Calculations (LOCKED)'!H117/'Formula Calculations (LOCKED)'!$H$2</f>
        <v>#DIV/0!</v>
      </c>
      <c r="H117" s="29" t="e">
        <f>(0.5*10000000)*'Formula Calculations (LOCKED)'!H117/'Formula Calculations (LOCKED)'!$H$2+(0.5*10000000)*'Formula Calculations (LOCKED)'!D117/'Formula Calculations (LOCKED)'!$D$2</f>
        <v>#DIV/0!</v>
      </c>
      <c r="I117" s="7" t="e">
        <f>'Sheet 2. County Level Data'!$T$12+(0.3333333333*10000000*('Formula Calculations (LOCKED)'!H117/'Formula Calculations (LOCKED)'!$H$2))+(0.3333333333*10000000*('Formula Calculations (LOCKED)'!D117/'Formula Calculations (LOCKED)'!$D$2))</f>
        <v>#DIV/0!</v>
      </c>
      <c r="J117" s="29" t="e">
        <f>'Sheet 2. County Level Data'!$T$13+(0.25*10000000*('Formula Calculations (LOCKED)'!H117/'Formula Calculations (LOCKED)'!$H$2))+(0.25*10000000*('Formula Calculations (LOCKED)'!D117/'Formula Calculations (LOCKED)'!$D$2))+(0.25*10000000*('Formula Calculations (LOCKED)'!L117/'Formula Calculations (LOCKED)'!$L$2))</f>
        <v>#DIV/0!</v>
      </c>
      <c r="K117" s="29" t="e">
        <f>'Sheet 2. County Level Data'!$T$13+(0.25*10000000*('Formula Calculations (LOCKED)'!H117/'Formula Calculations (LOCKED)'!$H$2))+(0.25*10000000*('Formula Calculations (LOCKED)'!D117/'Formula Calculations (LOCKED)'!$D$2))+(0.25*10000000*('Formula Calculations (LOCKED)'!O117/'Formula Calculations (LOCKED)'!$O$2))</f>
        <v>#DIV/0!</v>
      </c>
      <c r="L117" s="29" t="e">
        <f>IF('Formula Calculations (LOCKED)'!$G117=1,('Sheet 2. County Level Data'!$P$12*('Formula Calculations (LOCKED)'!K117/'Formula Calculations (LOCKED)'!$K$2)),((10000000-'Sheet 2. County Level Data'!$P$12)*'Formula Calculations (LOCKED)'!J117/'Formula Calculations (LOCKED)'!$J$2))</f>
        <v>#DIV/0!</v>
      </c>
      <c r="M117" s="29" t="e">
        <f>IF('Formula Calculations (LOCKED)'!$G117=1,((0.5*'Sheet 2. County Level Data'!$P$12)*('Formula Calculations (LOCKED)'!K117/'Formula Calculations (LOCKED)'!$K$2))+((0.5*'Sheet 2. County Level Data'!$P$12)*('Formula Calculations (LOCKED)'!N117/'Formula Calculations (LOCKED)'!$N$2)),((0.5*(10000000-'Sheet 2. County Level Data'!$P$12))*('Formula Calculations (LOCKED)'!J117/'Formula Calculations (LOCKED)'!$J$2))+((0.5*(10000000-'Sheet 2. County Level Data'!$P$12))*('Formula Calculations (LOCKED)'!M117/'Formula Calculations (LOCKED)'!$M$2)))</f>
        <v>#DIV/0!</v>
      </c>
      <c r="N117" s="29" t="e">
        <f>IF('Formula Calculations (LOCKED)'!$G117=1,((0.5*'Sheet 2. County Level Data'!$P$12)*('Formula Calculations (LOCKED)'!K117/'Formula Calculations (LOCKED)'!$K$2))+((0.5*'Sheet 2. County Level Data'!$P$12)*('Formula Calculations (LOCKED)'!R117/'Formula Calculations (LOCKED)'!$R$2)),((0.5*(10000000-'Sheet 2. County Level Data'!$P$12))*('Formula Calculations (LOCKED)'!J117/'Formula Calculations (LOCKED)'!$J$2))+((0.5*(10000000-'Sheet 2. County Level Data'!$P$12))*('Formula Calculations (LOCKED)'!Q117/'Formula Calculations (LOCKED)'!$Q$2)))</f>
        <v>#DIV/0!</v>
      </c>
    </row>
    <row r="118" spans="1:14" x14ac:dyDescent="0.2">
      <c r="A118" s="7">
        <f>'Sheet 2. County Level Data'!A116</f>
        <v>0</v>
      </c>
      <c r="B118" s="29" t="e">
        <f>('Formula Calculations (LOCKED)'!C118*'Sheet 2. County Level Data'!$P$4)</f>
        <v>#DIV/0!</v>
      </c>
      <c r="C118" s="29" t="e">
        <f>'Formula Calculations (LOCKED)'!H118/'Formula Calculations (LOCKED)'!$H$2*'Sheet 2. County Level Data'!$P$4</f>
        <v>#DIV/0!</v>
      </c>
      <c r="D118" s="29" t="e">
        <f>('Formula Calculations (LOCKED)'!L118/'Formula Calculations (LOCKED)'!$L$2)*'Sheet 2. County Level Data'!$P$4</f>
        <v>#DIV/0!</v>
      </c>
      <c r="E118" s="29" t="e">
        <f>('Formula Calculations (LOCKED)'!O118/'Formula Calculations (LOCKED)'!$O$2)*'Sheet 2. County Level Data'!$P$4</f>
        <v>#DIV/0!</v>
      </c>
      <c r="F118" s="29" t="e">
        <f>('Formula Calculations (LOCKED)'!D118/'Formula Calculations (LOCKED)'!$D$2)*'Sheet 2. County Level Data'!$P$4</f>
        <v>#DIV/0!</v>
      </c>
      <c r="G118" s="29" t="e">
        <f>'Sheet 2. County Level Data'!$T$11+(0.5*10000000)*'Formula Calculations (LOCKED)'!H118/'Formula Calculations (LOCKED)'!$H$2</f>
        <v>#DIV/0!</v>
      </c>
      <c r="H118" s="29" t="e">
        <f>(0.5*10000000)*'Formula Calculations (LOCKED)'!H118/'Formula Calculations (LOCKED)'!$H$2+(0.5*10000000)*'Formula Calculations (LOCKED)'!D118/'Formula Calculations (LOCKED)'!$D$2</f>
        <v>#DIV/0!</v>
      </c>
      <c r="I118" s="7" t="e">
        <f>'Sheet 2. County Level Data'!$T$12+(0.3333333333*10000000*('Formula Calculations (LOCKED)'!H118/'Formula Calculations (LOCKED)'!$H$2))+(0.3333333333*10000000*('Formula Calculations (LOCKED)'!D118/'Formula Calculations (LOCKED)'!$D$2))</f>
        <v>#DIV/0!</v>
      </c>
      <c r="J118" s="29" t="e">
        <f>'Sheet 2. County Level Data'!$T$13+(0.25*10000000*('Formula Calculations (LOCKED)'!H118/'Formula Calculations (LOCKED)'!$H$2))+(0.25*10000000*('Formula Calculations (LOCKED)'!D118/'Formula Calculations (LOCKED)'!$D$2))+(0.25*10000000*('Formula Calculations (LOCKED)'!L118/'Formula Calculations (LOCKED)'!$L$2))</f>
        <v>#DIV/0!</v>
      </c>
      <c r="K118" s="29" t="e">
        <f>'Sheet 2. County Level Data'!$T$13+(0.25*10000000*('Formula Calculations (LOCKED)'!H118/'Formula Calculations (LOCKED)'!$H$2))+(0.25*10000000*('Formula Calculations (LOCKED)'!D118/'Formula Calculations (LOCKED)'!$D$2))+(0.25*10000000*('Formula Calculations (LOCKED)'!O118/'Formula Calculations (LOCKED)'!$O$2))</f>
        <v>#DIV/0!</v>
      </c>
      <c r="L118" s="29" t="e">
        <f>IF('Formula Calculations (LOCKED)'!$G118=1,('Sheet 2. County Level Data'!$P$12*('Formula Calculations (LOCKED)'!K118/'Formula Calculations (LOCKED)'!$K$2)),((10000000-'Sheet 2. County Level Data'!$P$12)*'Formula Calculations (LOCKED)'!J118/'Formula Calculations (LOCKED)'!$J$2))</f>
        <v>#DIV/0!</v>
      </c>
      <c r="M118" s="29" t="e">
        <f>IF('Formula Calculations (LOCKED)'!$G118=1,((0.5*'Sheet 2. County Level Data'!$P$12)*('Formula Calculations (LOCKED)'!K118/'Formula Calculations (LOCKED)'!$K$2))+((0.5*'Sheet 2. County Level Data'!$P$12)*('Formula Calculations (LOCKED)'!N118/'Formula Calculations (LOCKED)'!$N$2)),((0.5*(10000000-'Sheet 2. County Level Data'!$P$12))*('Formula Calculations (LOCKED)'!J118/'Formula Calculations (LOCKED)'!$J$2))+((0.5*(10000000-'Sheet 2. County Level Data'!$P$12))*('Formula Calculations (LOCKED)'!M118/'Formula Calculations (LOCKED)'!$M$2)))</f>
        <v>#DIV/0!</v>
      </c>
      <c r="N118" s="29" t="e">
        <f>IF('Formula Calculations (LOCKED)'!$G118=1,((0.5*'Sheet 2. County Level Data'!$P$12)*('Formula Calculations (LOCKED)'!K118/'Formula Calculations (LOCKED)'!$K$2))+((0.5*'Sheet 2. County Level Data'!$P$12)*('Formula Calculations (LOCKED)'!R118/'Formula Calculations (LOCKED)'!$R$2)),((0.5*(10000000-'Sheet 2. County Level Data'!$P$12))*('Formula Calculations (LOCKED)'!J118/'Formula Calculations (LOCKED)'!$J$2))+((0.5*(10000000-'Sheet 2. County Level Data'!$P$12))*('Formula Calculations (LOCKED)'!Q118/'Formula Calculations (LOCKED)'!$Q$2)))</f>
        <v>#DIV/0!</v>
      </c>
    </row>
    <row r="119" spans="1:14" x14ac:dyDescent="0.2">
      <c r="A119" s="7">
        <f>'Sheet 2. County Level Data'!A117</f>
        <v>0</v>
      </c>
      <c r="B119" s="29" t="e">
        <f>('Formula Calculations (LOCKED)'!C119*'Sheet 2. County Level Data'!$P$4)</f>
        <v>#DIV/0!</v>
      </c>
      <c r="C119" s="29" t="e">
        <f>'Formula Calculations (LOCKED)'!H119/'Formula Calculations (LOCKED)'!$H$2*'Sheet 2. County Level Data'!$P$4</f>
        <v>#DIV/0!</v>
      </c>
      <c r="D119" s="29" t="e">
        <f>('Formula Calculations (LOCKED)'!L119/'Formula Calculations (LOCKED)'!$L$2)*'Sheet 2. County Level Data'!$P$4</f>
        <v>#DIV/0!</v>
      </c>
      <c r="E119" s="29" t="e">
        <f>('Formula Calculations (LOCKED)'!O119/'Formula Calculations (LOCKED)'!$O$2)*'Sheet 2. County Level Data'!$P$4</f>
        <v>#DIV/0!</v>
      </c>
      <c r="F119" s="29" t="e">
        <f>('Formula Calculations (LOCKED)'!D119/'Formula Calculations (LOCKED)'!$D$2)*'Sheet 2. County Level Data'!$P$4</f>
        <v>#DIV/0!</v>
      </c>
      <c r="G119" s="29" t="e">
        <f>'Sheet 2. County Level Data'!$T$11+(0.5*10000000)*'Formula Calculations (LOCKED)'!H119/'Formula Calculations (LOCKED)'!$H$2</f>
        <v>#DIV/0!</v>
      </c>
      <c r="H119" s="29" t="e">
        <f>(0.5*10000000)*'Formula Calculations (LOCKED)'!H119/'Formula Calculations (LOCKED)'!$H$2+(0.5*10000000)*'Formula Calculations (LOCKED)'!D119/'Formula Calculations (LOCKED)'!$D$2</f>
        <v>#DIV/0!</v>
      </c>
      <c r="I119" s="7" t="e">
        <f>'Sheet 2. County Level Data'!$T$12+(0.3333333333*10000000*('Formula Calculations (LOCKED)'!H119/'Formula Calculations (LOCKED)'!$H$2))+(0.3333333333*10000000*('Formula Calculations (LOCKED)'!D119/'Formula Calculations (LOCKED)'!$D$2))</f>
        <v>#DIV/0!</v>
      </c>
      <c r="J119" s="29" t="e">
        <f>'Sheet 2. County Level Data'!$T$13+(0.25*10000000*('Formula Calculations (LOCKED)'!H119/'Formula Calculations (LOCKED)'!$H$2))+(0.25*10000000*('Formula Calculations (LOCKED)'!D119/'Formula Calculations (LOCKED)'!$D$2))+(0.25*10000000*('Formula Calculations (LOCKED)'!L119/'Formula Calculations (LOCKED)'!$L$2))</f>
        <v>#DIV/0!</v>
      </c>
      <c r="K119" s="29" t="e">
        <f>'Sheet 2. County Level Data'!$T$13+(0.25*10000000*('Formula Calculations (LOCKED)'!H119/'Formula Calculations (LOCKED)'!$H$2))+(0.25*10000000*('Formula Calculations (LOCKED)'!D119/'Formula Calculations (LOCKED)'!$D$2))+(0.25*10000000*('Formula Calculations (LOCKED)'!O119/'Formula Calculations (LOCKED)'!$O$2))</f>
        <v>#DIV/0!</v>
      </c>
      <c r="L119" s="29" t="e">
        <f>IF('Formula Calculations (LOCKED)'!$G119=1,('Sheet 2. County Level Data'!$P$12*('Formula Calculations (LOCKED)'!K119/'Formula Calculations (LOCKED)'!$K$2)),((10000000-'Sheet 2. County Level Data'!$P$12)*'Formula Calculations (LOCKED)'!J119/'Formula Calculations (LOCKED)'!$J$2))</f>
        <v>#DIV/0!</v>
      </c>
      <c r="M119" s="29" t="e">
        <f>IF('Formula Calculations (LOCKED)'!$G119=1,((0.5*'Sheet 2. County Level Data'!$P$12)*('Formula Calculations (LOCKED)'!K119/'Formula Calculations (LOCKED)'!$K$2))+((0.5*'Sheet 2. County Level Data'!$P$12)*('Formula Calculations (LOCKED)'!N119/'Formula Calculations (LOCKED)'!$N$2)),((0.5*(10000000-'Sheet 2. County Level Data'!$P$12))*('Formula Calculations (LOCKED)'!J119/'Formula Calculations (LOCKED)'!$J$2))+((0.5*(10000000-'Sheet 2. County Level Data'!$P$12))*('Formula Calculations (LOCKED)'!M119/'Formula Calculations (LOCKED)'!$M$2)))</f>
        <v>#DIV/0!</v>
      </c>
      <c r="N119" s="29" t="e">
        <f>IF('Formula Calculations (LOCKED)'!$G119=1,((0.5*'Sheet 2. County Level Data'!$P$12)*('Formula Calculations (LOCKED)'!K119/'Formula Calculations (LOCKED)'!$K$2))+((0.5*'Sheet 2. County Level Data'!$P$12)*('Formula Calculations (LOCKED)'!R119/'Formula Calculations (LOCKED)'!$R$2)),((0.5*(10000000-'Sheet 2. County Level Data'!$P$12))*('Formula Calculations (LOCKED)'!J119/'Formula Calculations (LOCKED)'!$J$2))+((0.5*(10000000-'Sheet 2. County Level Data'!$P$12))*('Formula Calculations (LOCKED)'!Q119/'Formula Calculations (LOCKED)'!$Q$2)))</f>
        <v>#DIV/0!</v>
      </c>
    </row>
    <row r="120" spans="1:14" x14ac:dyDescent="0.2">
      <c r="A120" s="7">
        <f>'Sheet 2. County Level Data'!A118</f>
        <v>0</v>
      </c>
      <c r="B120" s="29" t="e">
        <f>('Formula Calculations (LOCKED)'!C120*'Sheet 2. County Level Data'!$P$4)</f>
        <v>#DIV/0!</v>
      </c>
      <c r="C120" s="29" t="e">
        <f>'Formula Calculations (LOCKED)'!H120/'Formula Calculations (LOCKED)'!$H$2*'Sheet 2. County Level Data'!$P$4</f>
        <v>#DIV/0!</v>
      </c>
      <c r="D120" s="29" t="e">
        <f>('Formula Calculations (LOCKED)'!L120/'Formula Calculations (LOCKED)'!$L$2)*'Sheet 2. County Level Data'!$P$4</f>
        <v>#DIV/0!</v>
      </c>
      <c r="E120" s="29" t="e">
        <f>('Formula Calculations (LOCKED)'!O120/'Formula Calculations (LOCKED)'!$O$2)*'Sheet 2. County Level Data'!$P$4</f>
        <v>#DIV/0!</v>
      </c>
      <c r="F120" s="29" t="e">
        <f>('Formula Calculations (LOCKED)'!D120/'Formula Calculations (LOCKED)'!$D$2)*'Sheet 2. County Level Data'!$P$4</f>
        <v>#DIV/0!</v>
      </c>
      <c r="G120" s="29" t="e">
        <f>'Sheet 2. County Level Data'!$T$11+(0.5*10000000)*'Formula Calculations (LOCKED)'!H120/'Formula Calculations (LOCKED)'!$H$2</f>
        <v>#DIV/0!</v>
      </c>
      <c r="H120" s="29" t="e">
        <f>(0.5*10000000)*'Formula Calculations (LOCKED)'!H120/'Formula Calculations (LOCKED)'!$H$2+(0.5*10000000)*'Formula Calculations (LOCKED)'!D120/'Formula Calculations (LOCKED)'!$D$2</f>
        <v>#DIV/0!</v>
      </c>
      <c r="I120" s="7" t="e">
        <f>'Sheet 2. County Level Data'!$T$12+(0.3333333333*10000000*('Formula Calculations (LOCKED)'!H120/'Formula Calculations (LOCKED)'!$H$2))+(0.3333333333*10000000*('Formula Calculations (LOCKED)'!D120/'Formula Calculations (LOCKED)'!$D$2))</f>
        <v>#DIV/0!</v>
      </c>
      <c r="J120" s="29" t="e">
        <f>'Sheet 2. County Level Data'!$T$13+(0.25*10000000*('Formula Calculations (LOCKED)'!H120/'Formula Calculations (LOCKED)'!$H$2))+(0.25*10000000*('Formula Calculations (LOCKED)'!D120/'Formula Calculations (LOCKED)'!$D$2))+(0.25*10000000*('Formula Calculations (LOCKED)'!L120/'Formula Calculations (LOCKED)'!$L$2))</f>
        <v>#DIV/0!</v>
      </c>
      <c r="K120" s="29" t="e">
        <f>'Sheet 2. County Level Data'!$T$13+(0.25*10000000*('Formula Calculations (LOCKED)'!H120/'Formula Calculations (LOCKED)'!$H$2))+(0.25*10000000*('Formula Calculations (LOCKED)'!D120/'Formula Calculations (LOCKED)'!$D$2))+(0.25*10000000*('Formula Calculations (LOCKED)'!O120/'Formula Calculations (LOCKED)'!$O$2))</f>
        <v>#DIV/0!</v>
      </c>
      <c r="L120" s="29" t="e">
        <f>IF('Formula Calculations (LOCKED)'!$G120=1,('Sheet 2. County Level Data'!$P$12*('Formula Calculations (LOCKED)'!K120/'Formula Calculations (LOCKED)'!$K$2)),((10000000-'Sheet 2. County Level Data'!$P$12)*'Formula Calculations (LOCKED)'!J120/'Formula Calculations (LOCKED)'!$J$2))</f>
        <v>#DIV/0!</v>
      </c>
      <c r="M120" s="29" t="e">
        <f>IF('Formula Calculations (LOCKED)'!$G120=1,((0.5*'Sheet 2. County Level Data'!$P$12)*('Formula Calculations (LOCKED)'!K120/'Formula Calculations (LOCKED)'!$K$2))+((0.5*'Sheet 2. County Level Data'!$P$12)*('Formula Calculations (LOCKED)'!N120/'Formula Calculations (LOCKED)'!$N$2)),((0.5*(10000000-'Sheet 2. County Level Data'!$P$12))*('Formula Calculations (LOCKED)'!J120/'Formula Calculations (LOCKED)'!$J$2))+((0.5*(10000000-'Sheet 2. County Level Data'!$P$12))*('Formula Calculations (LOCKED)'!M120/'Formula Calculations (LOCKED)'!$M$2)))</f>
        <v>#DIV/0!</v>
      </c>
      <c r="N120" s="29" t="e">
        <f>IF('Formula Calculations (LOCKED)'!$G120=1,((0.5*'Sheet 2. County Level Data'!$P$12)*('Formula Calculations (LOCKED)'!K120/'Formula Calculations (LOCKED)'!$K$2))+((0.5*'Sheet 2. County Level Data'!$P$12)*('Formula Calculations (LOCKED)'!R120/'Formula Calculations (LOCKED)'!$R$2)),((0.5*(10000000-'Sheet 2. County Level Data'!$P$12))*('Formula Calculations (LOCKED)'!J120/'Formula Calculations (LOCKED)'!$J$2))+((0.5*(10000000-'Sheet 2. County Level Data'!$P$12))*('Formula Calculations (LOCKED)'!Q120/'Formula Calculations (LOCKED)'!$Q$2)))</f>
        <v>#DIV/0!</v>
      </c>
    </row>
    <row r="121" spans="1:14" x14ac:dyDescent="0.2">
      <c r="A121" s="7">
        <f>'Sheet 2. County Level Data'!A119</f>
        <v>0</v>
      </c>
      <c r="B121" s="29" t="e">
        <f>('Formula Calculations (LOCKED)'!C121*'Sheet 2. County Level Data'!$P$4)</f>
        <v>#DIV/0!</v>
      </c>
      <c r="C121" s="29" t="e">
        <f>'Formula Calculations (LOCKED)'!H121/'Formula Calculations (LOCKED)'!$H$2*'Sheet 2. County Level Data'!$P$4</f>
        <v>#DIV/0!</v>
      </c>
      <c r="D121" s="29" t="e">
        <f>('Formula Calculations (LOCKED)'!L121/'Formula Calculations (LOCKED)'!$L$2)*'Sheet 2. County Level Data'!$P$4</f>
        <v>#DIV/0!</v>
      </c>
      <c r="E121" s="29" t="e">
        <f>('Formula Calculations (LOCKED)'!O121/'Formula Calculations (LOCKED)'!$O$2)*'Sheet 2. County Level Data'!$P$4</f>
        <v>#DIV/0!</v>
      </c>
      <c r="F121" s="29" t="e">
        <f>('Formula Calculations (LOCKED)'!D121/'Formula Calculations (LOCKED)'!$D$2)*'Sheet 2. County Level Data'!$P$4</f>
        <v>#DIV/0!</v>
      </c>
      <c r="G121" s="29" t="e">
        <f>'Sheet 2. County Level Data'!$T$11+(0.5*10000000)*'Formula Calculations (LOCKED)'!H121/'Formula Calculations (LOCKED)'!$H$2</f>
        <v>#DIV/0!</v>
      </c>
      <c r="H121" s="29" t="e">
        <f>(0.5*10000000)*'Formula Calculations (LOCKED)'!H121/'Formula Calculations (LOCKED)'!$H$2+(0.5*10000000)*'Formula Calculations (LOCKED)'!D121/'Formula Calculations (LOCKED)'!$D$2</f>
        <v>#DIV/0!</v>
      </c>
      <c r="I121" s="7" t="e">
        <f>'Sheet 2. County Level Data'!$T$12+(0.3333333333*10000000*('Formula Calculations (LOCKED)'!H121/'Formula Calculations (LOCKED)'!$H$2))+(0.3333333333*10000000*('Formula Calculations (LOCKED)'!D121/'Formula Calculations (LOCKED)'!$D$2))</f>
        <v>#DIV/0!</v>
      </c>
      <c r="J121" s="29" t="e">
        <f>'Sheet 2. County Level Data'!$T$13+(0.25*10000000*('Formula Calculations (LOCKED)'!H121/'Formula Calculations (LOCKED)'!$H$2))+(0.25*10000000*('Formula Calculations (LOCKED)'!D121/'Formula Calculations (LOCKED)'!$D$2))+(0.25*10000000*('Formula Calculations (LOCKED)'!L121/'Formula Calculations (LOCKED)'!$L$2))</f>
        <v>#DIV/0!</v>
      </c>
      <c r="K121" s="29" t="e">
        <f>'Sheet 2. County Level Data'!$T$13+(0.25*10000000*('Formula Calculations (LOCKED)'!H121/'Formula Calculations (LOCKED)'!$H$2))+(0.25*10000000*('Formula Calculations (LOCKED)'!D121/'Formula Calculations (LOCKED)'!$D$2))+(0.25*10000000*('Formula Calculations (LOCKED)'!O121/'Formula Calculations (LOCKED)'!$O$2))</f>
        <v>#DIV/0!</v>
      </c>
      <c r="L121" s="29" t="e">
        <f>IF('Formula Calculations (LOCKED)'!$G121=1,('Sheet 2. County Level Data'!$P$12*('Formula Calculations (LOCKED)'!K121/'Formula Calculations (LOCKED)'!$K$2)),((10000000-'Sheet 2. County Level Data'!$P$12)*'Formula Calculations (LOCKED)'!J121/'Formula Calculations (LOCKED)'!$J$2))</f>
        <v>#DIV/0!</v>
      </c>
      <c r="M121" s="29" t="e">
        <f>IF('Formula Calculations (LOCKED)'!$G121=1,((0.5*'Sheet 2. County Level Data'!$P$12)*('Formula Calculations (LOCKED)'!K121/'Formula Calculations (LOCKED)'!$K$2))+((0.5*'Sheet 2. County Level Data'!$P$12)*('Formula Calculations (LOCKED)'!N121/'Formula Calculations (LOCKED)'!$N$2)),((0.5*(10000000-'Sheet 2. County Level Data'!$P$12))*('Formula Calculations (LOCKED)'!J121/'Formula Calculations (LOCKED)'!$J$2))+((0.5*(10000000-'Sheet 2. County Level Data'!$P$12))*('Formula Calculations (LOCKED)'!M121/'Formula Calculations (LOCKED)'!$M$2)))</f>
        <v>#DIV/0!</v>
      </c>
      <c r="N121" s="29" t="e">
        <f>IF('Formula Calculations (LOCKED)'!$G121=1,((0.5*'Sheet 2. County Level Data'!$P$12)*('Formula Calculations (LOCKED)'!K121/'Formula Calculations (LOCKED)'!$K$2))+((0.5*'Sheet 2. County Level Data'!$P$12)*('Formula Calculations (LOCKED)'!R121/'Formula Calculations (LOCKED)'!$R$2)),((0.5*(10000000-'Sheet 2. County Level Data'!$P$12))*('Formula Calculations (LOCKED)'!J121/'Formula Calculations (LOCKED)'!$J$2))+((0.5*(10000000-'Sheet 2. County Level Data'!$P$12))*('Formula Calculations (LOCKED)'!Q121/'Formula Calculations (LOCKED)'!$Q$2)))</f>
        <v>#DIV/0!</v>
      </c>
    </row>
    <row r="122" spans="1:14" x14ac:dyDescent="0.2">
      <c r="A122" s="7">
        <f>'Sheet 2. County Level Data'!A120</f>
        <v>0</v>
      </c>
      <c r="B122" s="29" t="e">
        <f>('Formula Calculations (LOCKED)'!C122*'Sheet 2. County Level Data'!$P$4)</f>
        <v>#DIV/0!</v>
      </c>
      <c r="C122" s="29" t="e">
        <f>'Formula Calculations (LOCKED)'!H122/'Formula Calculations (LOCKED)'!$H$2*'Sheet 2. County Level Data'!$P$4</f>
        <v>#DIV/0!</v>
      </c>
      <c r="D122" s="29" t="e">
        <f>('Formula Calculations (LOCKED)'!L122/'Formula Calculations (LOCKED)'!$L$2)*'Sheet 2. County Level Data'!$P$4</f>
        <v>#DIV/0!</v>
      </c>
      <c r="E122" s="29" t="e">
        <f>('Formula Calculations (LOCKED)'!O122/'Formula Calculations (LOCKED)'!$O$2)*'Sheet 2. County Level Data'!$P$4</f>
        <v>#DIV/0!</v>
      </c>
      <c r="F122" s="29" t="e">
        <f>('Formula Calculations (LOCKED)'!D122/'Formula Calculations (LOCKED)'!$D$2)*'Sheet 2. County Level Data'!$P$4</f>
        <v>#DIV/0!</v>
      </c>
      <c r="G122" s="29" t="e">
        <f>'Sheet 2. County Level Data'!$T$11+(0.5*10000000)*'Formula Calculations (LOCKED)'!H122/'Formula Calculations (LOCKED)'!$H$2</f>
        <v>#DIV/0!</v>
      </c>
      <c r="H122" s="29" t="e">
        <f>(0.5*10000000)*'Formula Calculations (LOCKED)'!H122/'Formula Calculations (LOCKED)'!$H$2+(0.5*10000000)*'Formula Calculations (LOCKED)'!D122/'Formula Calculations (LOCKED)'!$D$2</f>
        <v>#DIV/0!</v>
      </c>
      <c r="I122" s="7" t="e">
        <f>'Sheet 2. County Level Data'!$T$12+(0.3333333333*10000000*('Formula Calculations (LOCKED)'!H122/'Formula Calculations (LOCKED)'!$H$2))+(0.3333333333*10000000*('Formula Calculations (LOCKED)'!D122/'Formula Calculations (LOCKED)'!$D$2))</f>
        <v>#DIV/0!</v>
      </c>
      <c r="J122" s="29" t="e">
        <f>'Sheet 2. County Level Data'!$T$13+(0.25*10000000*('Formula Calculations (LOCKED)'!H122/'Formula Calculations (LOCKED)'!$H$2))+(0.25*10000000*('Formula Calculations (LOCKED)'!D122/'Formula Calculations (LOCKED)'!$D$2))+(0.25*10000000*('Formula Calculations (LOCKED)'!L122/'Formula Calculations (LOCKED)'!$L$2))</f>
        <v>#DIV/0!</v>
      </c>
      <c r="K122" s="29" t="e">
        <f>'Sheet 2. County Level Data'!$T$13+(0.25*10000000*('Formula Calculations (LOCKED)'!H122/'Formula Calculations (LOCKED)'!$H$2))+(0.25*10000000*('Formula Calculations (LOCKED)'!D122/'Formula Calculations (LOCKED)'!$D$2))+(0.25*10000000*('Formula Calculations (LOCKED)'!O122/'Formula Calculations (LOCKED)'!$O$2))</f>
        <v>#DIV/0!</v>
      </c>
      <c r="L122" s="29" t="e">
        <f>IF('Formula Calculations (LOCKED)'!$G122=1,('Sheet 2. County Level Data'!$P$12*('Formula Calculations (LOCKED)'!K122/'Formula Calculations (LOCKED)'!$K$2)),((10000000-'Sheet 2. County Level Data'!$P$12)*'Formula Calculations (LOCKED)'!J122/'Formula Calculations (LOCKED)'!$J$2))</f>
        <v>#DIV/0!</v>
      </c>
      <c r="M122" s="29" t="e">
        <f>IF('Formula Calculations (LOCKED)'!$G122=1,((0.5*'Sheet 2. County Level Data'!$P$12)*('Formula Calculations (LOCKED)'!K122/'Formula Calculations (LOCKED)'!$K$2))+((0.5*'Sheet 2. County Level Data'!$P$12)*('Formula Calculations (LOCKED)'!N122/'Formula Calculations (LOCKED)'!$N$2)),((0.5*(10000000-'Sheet 2. County Level Data'!$P$12))*('Formula Calculations (LOCKED)'!J122/'Formula Calculations (LOCKED)'!$J$2))+((0.5*(10000000-'Sheet 2. County Level Data'!$P$12))*('Formula Calculations (LOCKED)'!M122/'Formula Calculations (LOCKED)'!$M$2)))</f>
        <v>#DIV/0!</v>
      </c>
      <c r="N122" s="29" t="e">
        <f>IF('Formula Calculations (LOCKED)'!$G122=1,((0.5*'Sheet 2. County Level Data'!$P$12)*('Formula Calculations (LOCKED)'!K122/'Formula Calculations (LOCKED)'!$K$2))+((0.5*'Sheet 2. County Level Data'!$P$12)*('Formula Calculations (LOCKED)'!R122/'Formula Calculations (LOCKED)'!$R$2)),((0.5*(10000000-'Sheet 2. County Level Data'!$P$12))*('Formula Calculations (LOCKED)'!J122/'Formula Calculations (LOCKED)'!$J$2))+((0.5*(10000000-'Sheet 2. County Level Data'!$P$12))*('Formula Calculations (LOCKED)'!Q122/'Formula Calculations (LOCKED)'!$Q$2)))</f>
        <v>#DIV/0!</v>
      </c>
    </row>
    <row r="123" spans="1:14" x14ac:dyDescent="0.2">
      <c r="A123" s="7">
        <f>'Sheet 2. County Level Data'!A121</f>
        <v>0</v>
      </c>
      <c r="B123" s="29" t="e">
        <f>('Formula Calculations (LOCKED)'!C123*'Sheet 2. County Level Data'!$P$4)</f>
        <v>#DIV/0!</v>
      </c>
      <c r="C123" s="29" t="e">
        <f>'Formula Calculations (LOCKED)'!H123/'Formula Calculations (LOCKED)'!$H$2*'Sheet 2. County Level Data'!$P$4</f>
        <v>#DIV/0!</v>
      </c>
      <c r="D123" s="29" t="e">
        <f>('Formula Calculations (LOCKED)'!L123/'Formula Calculations (LOCKED)'!$L$2)*'Sheet 2. County Level Data'!$P$4</f>
        <v>#DIV/0!</v>
      </c>
      <c r="E123" s="29" t="e">
        <f>('Formula Calculations (LOCKED)'!O123/'Formula Calculations (LOCKED)'!$O$2)*'Sheet 2. County Level Data'!$P$4</f>
        <v>#DIV/0!</v>
      </c>
      <c r="F123" s="29" t="e">
        <f>('Formula Calculations (LOCKED)'!D123/'Formula Calculations (LOCKED)'!$D$2)*'Sheet 2. County Level Data'!$P$4</f>
        <v>#DIV/0!</v>
      </c>
      <c r="G123" s="29" t="e">
        <f>'Sheet 2. County Level Data'!$T$11+(0.5*10000000)*'Formula Calculations (LOCKED)'!H123/'Formula Calculations (LOCKED)'!$H$2</f>
        <v>#DIV/0!</v>
      </c>
      <c r="H123" s="29" t="e">
        <f>(0.5*10000000)*'Formula Calculations (LOCKED)'!H123/'Formula Calculations (LOCKED)'!$H$2+(0.5*10000000)*'Formula Calculations (LOCKED)'!D123/'Formula Calculations (LOCKED)'!$D$2</f>
        <v>#DIV/0!</v>
      </c>
      <c r="I123" s="7" t="e">
        <f>'Sheet 2. County Level Data'!$T$12+(0.3333333333*10000000*('Formula Calculations (LOCKED)'!H123/'Formula Calculations (LOCKED)'!$H$2))+(0.3333333333*10000000*('Formula Calculations (LOCKED)'!D123/'Formula Calculations (LOCKED)'!$D$2))</f>
        <v>#DIV/0!</v>
      </c>
      <c r="J123" s="29" t="e">
        <f>'Sheet 2. County Level Data'!$T$13+(0.25*10000000*('Formula Calculations (LOCKED)'!H123/'Formula Calculations (LOCKED)'!$H$2))+(0.25*10000000*('Formula Calculations (LOCKED)'!D123/'Formula Calculations (LOCKED)'!$D$2))+(0.25*10000000*('Formula Calculations (LOCKED)'!L123/'Formula Calculations (LOCKED)'!$L$2))</f>
        <v>#DIV/0!</v>
      </c>
      <c r="K123" s="29" t="e">
        <f>'Sheet 2. County Level Data'!$T$13+(0.25*10000000*('Formula Calculations (LOCKED)'!H123/'Formula Calculations (LOCKED)'!$H$2))+(0.25*10000000*('Formula Calculations (LOCKED)'!D123/'Formula Calculations (LOCKED)'!$D$2))+(0.25*10000000*('Formula Calculations (LOCKED)'!O123/'Formula Calculations (LOCKED)'!$O$2))</f>
        <v>#DIV/0!</v>
      </c>
      <c r="L123" s="29" t="e">
        <f>IF('Formula Calculations (LOCKED)'!$G123=1,('Sheet 2. County Level Data'!$P$12*('Formula Calculations (LOCKED)'!K123/'Formula Calculations (LOCKED)'!$K$2)),((10000000-'Sheet 2. County Level Data'!$P$12)*'Formula Calculations (LOCKED)'!J123/'Formula Calculations (LOCKED)'!$J$2))</f>
        <v>#DIV/0!</v>
      </c>
      <c r="M123" s="29" t="e">
        <f>IF('Formula Calculations (LOCKED)'!$G123=1,((0.5*'Sheet 2. County Level Data'!$P$12)*('Formula Calculations (LOCKED)'!K123/'Formula Calculations (LOCKED)'!$K$2))+((0.5*'Sheet 2. County Level Data'!$P$12)*('Formula Calculations (LOCKED)'!N123/'Formula Calculations (LOCKED)'!$N$2)),((0.5*(10000000-'Sheet 2. County Level Data'!$P$12))*('Formula Calculations (LOCKED)'!J123/'Formula Calculations (LOCKED)'!$J$2))+((0.5*(10000000-'Sheet 2. County Level Data'!$P$12))*('Formula Calculations (LOCKED)'!M123/'Formula Calculations (LOCKED)'!$M$2)))</f>
        <v>#DIV/0!</v>
      </c>
      <c r="N123" s="29" t="e">
        <f>IF('Formula Calculations (LOCKED)'!$G123=1,((0.5*'Sheet 2. County Level Data'!$P$12)*('Formula Calculations (LOCKED)'!K123/'Formula Calculations (LOCKED)'!$K$2))+((0.5*'Sheet 2. County Level Data'!$P$12)*('Formula Calculations (LOCKED)'!R123/'Formula Calculations (LOCKED)'!$R$2)),((0.5*(10000000-'Sheet 2. County Level Data'!$P$12))*('Formula Calculations (LOCKED)'!J123/'Formula Calculations (LOCKED)'!$J$2))+((0.5*(10000000-'Sheet 2. County Level Data'!$P$12))*('Formula Calculations (LOCKED)'!Q123/'Formula Calculations (LOCKED)'!$Q$2)))</f>
        <v>#DIV/0!</v>
      </c>
    </row>
    <row r="124" spans="1:14" x14ac:dyDescent="0.2">
      <c r="A124" s="7">
        <f>'Sheet 2. County Level Data'!A122</f>
        <v>0</v>
      </c>
      <c r="B124" s="29" t="e">
        <f>('Formula Calculations (LOCKED)'!C124*'Sheet 2. County Level Data'!$P$4)</f>
        <v>#DIV/0!</v>
      </c>
      <c r="C124" s="29" t="e">
        <f>'Formula Calculations (LOCKED)'!H124/'Formula Calculations (LOCKED)'!$H$2*'Sheet 2. County Level Data'!$P$4</f>
        <v>#DIV/0!</v>
      </c>
      <c r="D124" s="29" t="e">
        <f>('Formula Calculations (LOCKED)'!L124/'Formula Calculations (LOCKED)'!$L$2)*'Sheet 2. County Level Data'!$P$4</f>
        <v>#DIV/0!</v>
      </c>
      <c r="E124" s="29" t="e">
        <f>('Formula Calculations (LOCKED)'!O124/'Formula Calculations (LOCKED)'!$O$2)*'Sheet 2. County Level Data'!$P$4</f>
        <v>#DIV/0!</v>
      </c>
      <c r="F124" s="29" t="e">
        <f>('Formula Calculations (LOCKED)'!D124/'Formula Calculations (LOCKED)'!$D$2)*'Sheet 2. County Level Data'!$P$4</f>
        <v>#DIV/0!</v>
      </c>
      <c r="G124" s="29" t="e">
        <f>'Sheet 2. County Level Data'!$T$11+(0.5*10000000)*'Formula Calculations (LOCKED)'!H124/'Formula Calculations (LOCKED)'!$H$2</f>
        <v>#DIV/0!</v>
      </c>
      <c r="H124" s="29" t="e">
        <f>(0.5*10000000)*'Formula Calculations (LOCKED)'!H124/'Formula Calculations (LOCKED)'!$H$2+(0.5*10000000)*'Formula Calculations (LOCKED)'!D124/'Formula Calculations (LOCKED)'!$D$2</f>
        <v>#DIV/0!</v>
      </c>
      <c r="I124" s="7" t="e">
        <f>'Sheet 2. County Level Data'!$T$12+(0.3333333333*10000000*('Formula Calculations (LOCKED)'!H124/'Formula Calculations (LOCKED)'!$H$2))+(0.3333333333*10000000*('Formula Calculations (LOCKED)'!D124/'Formula Calculations (LOCKED)'!$D$2))</f>
        <v>#DIV/0!</v>
      </c>
      <c r="J124" s="29" t="e">
        <f>'Sheet 2. County Level Data'!$T$13+(0.25*10000000*('Formula Calculations (LOCKED)'!H124/'Formula Calculations (LOCKED)'!$H$2))+(0.25*10000000*('Formula Calculations (LOCKED)'!D124/'Formula Calculations (LOCKED)'!$D$2))+(0.25*10000000*('Formula Calculations (LOCKED)'!L124/'Formula Calculations (LOCKED)'!$L$2))</f>
        <v>#DIV/0!</v>
      </c>
      <c r="K124" s="29" t="e">
        <f>'Sheet 2. County Level Data'!$T$13+(0.25*10000000*('Formula Calculations (LOCKED)'!H124/'Formula Calculations (LOCKED)'!$H$2))+(0.25*10000000*('Formula Calculations (LOCKED)'!D124/'Formula Calculations (LOCKED)'!$D$2))+(0.25*10000000*('Formula Calculations (LOCKED)'!O124/'Formula Calculations (LOCKED)'!$O$2))</f>
        <v>#DIV/0!</v>
      </c>
      <c r="L124" s="29" t="e">
        <f>IF('Formula Calculations (LOCKED)'!$G124=1,('Sheet 2. County Level Data'!$P$12*('Formula Calculations (LOCKED)'!K124/'Formula Calculations (LOCKED)'!$K$2)),((10000000-'Sheet 2. County Level Data'!$P$12)*'Formula Calculations (LOCKED)'!J124/'Formula Calculations (LOCKED)'!$J$2))</f>
        <v>#DIV/0!</v>
      </c>
      <c r="M124" s="29" t="e">
        <f>IF('Formula Calculations (LOCKED)'!$G124=1,((0.5*'Sheet 2. County Level Data'!$P$12)*('Formula Calculations (LOCKED)'!K124/'Formula Calculations (LOCKED)'!$K$2))+((0.5*'Sheet 2. County Level Data'!$P$12)*('Formula Calculations (LOCKED)'!N124/'Formula Calculations (LOCKED)'!$N$2)),((0.5*(10000000-'Sheet 2. County Level Data'!$P$12))*('Formula Calculations (LOCKED)'!J124/'Formula Calculations (LOCKED)'!$J$2))+((0.5*(10000000-'Sheet 2. County Level Data'!$P$12))*('Formula Calculations (LOCKED)'!M124/'Formula Calculations (LOCKED)'!$M$2)))</f>
        <v>#DIV/0!</v>
      </c>
      <c r="N124" s="29" t="e">
        <f>IF('Formula Calculations (LOCKED)'!$G124=1,((0.5*'Sheet 2. County Level Data'!$P$12)*('Formula Calculations (LOCKED)'!K124/'Formula Calculations (LOCKED)'!$K$2))+((0.5*'Sheet 2. County Level Data'!$P$12)*('Formula Calculations (LOCKED)'!R124/'Formula Calculations (LOCKED)'!$R$2)),((0.5*(10000000-'Sheet 2. County Level Data'!$P$12))*('Formula Calculations (LOCKED)'!J124/'Formula Calculations (LOCKED)'!$J$2))+((0.5*(10000000-'Sheet 2. County Level Data'!$P$12))*('Formula Calculations (LOCKED)'!Q124/'Formula Calculations (LOCKED)'!$Q$2)))</f>
        <v>#DIV/0!</v>
      </c>
    </row>
    <row r="125" spans="1:14" x14ac:dyDescent="0.2">
      <c r="A125" s="7">
        <f>'Sheet 2. County Level Data'!A123</f>
        <v>0</v>
      </c>
      <c r="B125" s="29" t="e">
        <f>('Formula Calculations (LOCKED)'!C125*'Sheet 2. County Level Data'!$P$4)</f>
        <v>#DIV/0!</v>
      </c>
      <c r="C125" s="29" t="e">
        <f>'Formula Calculations (LOCKED)'!H125/'Formula Calculations (LOCKED)'!$H$2*'Sheet 2. County Level Data'!$P$4</f>
        <v>#DIV/0!</v>
      </c>
      <c r="D125" s="29" t="e">
        <f>('Formula Calculations (LOCKED)'!L125/'Formula Calculations (LOCKED)'!$L$2)*'Sheet 2. County Level Data'!$P$4</f>
        <v>#DIV/0!</v>
      </c>
      <c r="E125" s="29" t="e">
        <f>('Formula Calculations (LOCKED)'!O125/'Formula Calculations (LOCKED)'!$O$2)*'Sheet 2. County Level Data'!$P$4</f>
        <v>#DIV/0!</v>
      </c>
      <c r="F125" s="29" t="e">
        <f>('Formula Calculations (LOCKED)'!D125/'Formula Calculations (LOCKED)'!$D$2)*'Sheet 2. County Level Data'!$P$4</f>
        <v>#DIV/0!</v>
      </c>
      <c r="G125" s="29" t="e">
        <f>'Sheet 2. County Level Data'!$T$11+(0.5*10000000)*'Formula Calculations (LOCKED)'!H125/'Formula Calculations (LOCKED)'!$H$2</f>
        <v>#DIV/0!</v>
      </c>
      <c r="H125" s="29" t="e">
        <f>(0.5*10000000)*'Formula Calculations (LOCKED)'!H125/'Formula Calculations (LOCKED)'!$H$2+(0.5*10000000)*'Formula Calculations (LOCKED)'!D125/'Formula Calculations (LOCKED)'!$D$2</f>
        <v>#DIV/0!</v>
      </c>
      <c r="I125" s="7" t="e">
        <f>'Sheet 2. County Level Data'!$T$12+(0.3333333333*10000000*('Formula Calculations (LOCKED)'!H125/'Formula Calculations (LOCKED)'!$H$2))+(0.3333333333*10000000*('Formula Calculations (LOCKED)'!D125/'Formula Calculations (LOCKED)'!$D$2))</f>
        <v>#DIV/0!</v>
      </c>
      <c r="J125" s="29" t="e">
        <f>'Sheet 2. County Level Data'!$T$13+(0.25*10000000*('Formula Calculations (LOCKED)'!H125/'Formula Calculations (LOCKED)'!$H$2))+(0.25*10000000*('Formula Calculations (LOCKED)'!D125/'Formula Calculations (LOCKED)'!$D$2))+(0.25*10000000*('Formula Calculations (LOCKED)'!L125/'Formula Calculations (LOCKED)'!$L$2))</f>
        <v>#DIV/0!</v>
      </c>
      <c r="K125" s="29" t="e">
        <f>'Sheet 2. County Level Data'!$T$13+(0.25*10000000*('Formula Calculations (LOCKED)'!H125/'Formula Calculations (LOCKED)'!$H$2))+(0.25*10000000*('Formula Calculations (LOCKED)'!D125/'Formula Calculations (LOCKED)'!$D$2))+(0.25*10000000*('Formula Calculations (LOCKED)'!O125/'Formula Calculations (LOCKED)'!$O$2))</f>
        <v>#DIV/0!</v>
      </c>
      <c r="L125" s="29" t="e">
        <f>IF('Formula Calculations (LOCKED)'!$G125=1,('Sheet 2. County Level Data'!$P$12*('Formula Calculations (LOCKED)'!K125/'Formula Calculations (LOCKED)'!$K$2)),((10000000-'Sheet 2. County Level Data'!$P$12)*'Formula Calculations (LOCKED)'!J125/'Formula Calculations (LOCKED)'!$J$2))</f>
        <v>#DIV/0!</v>
      </c>
      <c r="M125" s="29" t="e">
        <f>IF('Formula Calculations (LOCKED)'!$G125=1,((0.5*'Sheet 2. County Level Data'!$P$12)*('Formula Calculations (LOCKED)'!K125/'Formula Calculations (LOCKED)'!$K$2))+((0.5*'Sheet 2. County Level Data'!$P$12)*('Formula Calculations (LOCKED)'!N125/'Formula Calculations (LOCKED)'!$N$2)),((0.5*(10000000-'Sheet 2. County Level Data'!$P$12))*('Formula Calculations (LOCKED)'!J125/'Formula Calculations (LOCKED)'!$J$2))+((0.5*(10000000-'Sheet 2. County Level Data'!$P$12))*('Formula Calculations (LOCKED)'!M125/'Formula Calculations (LOCKED)'!$M$2)))</f>
        <v>#DIV/0!</v>
      </c>
      <c r="N125" s="29" t="e">
        <f>IF('Formula Calculations (LOCKED)'!$G125=1,((0.5*'Sheet 2. County Level Data'!$P$12)*('Formula Calculations (LOCKED)'!K125/'Formula Calculations (LOCKED)'!$K$2))+((0.5*'Sheet 2. County Level Data'!$P$12)*('Formula Calculations (LOCKED)'!R125/'Formula Calculations (LOCKED)'!$R$2)),((0.5*(10000000-'Sheet 2. County Level Data'!$P$12))*('Formula Calculations (LOCKED)'!J125/'Formula Calculations (LOCKED)'!$J$2))+((0.5*(10000000-'Sheet 2. County Level Data'!$P$12))*('Formula Calculations (LOCKED)'!Q125/'Formula Calculations (LOCKED)'!$Q$2)))</f>
        <v>#DIV/0!</v>
      </c>
    </row>
    <row r="126" spans="1:14" x14ac:dyDescent="0.2">
      <c r="A126" s="7">
        <f>'Sheet 2. County Level Data'!A124</f>
        <v>0</v>
      </c>
      <c r="B126" s="29" t="e">
        <f>('Formula Calculations (LOCKED)'!C126*'Sheet 2. County Level Data'!$P$4)</f>
        <v>#DIV/0!</v>
      </c>
      <c r="C126" s="29" t="e">
        <f>'Formula Calculations (LOCKED)'!H126/'Formula Calculations (LOCKED)'!$H$2*'Sheet 2. County Level Data'!$P$4</f>
        <v>#DIV/0!</v>
      </c>
      <c r="D126" s="29" t="e">
        <f>('Formula Calculations (LOCKED)'!L126/'Formula Calculations (LOCKED)'!$L$2)*'Sheet 2. County Level Data'!$P$4</f>
        <v>#DIV/0!</v>
      </c>
      <c r="E126" s="29" t="e">
        <f>('Formula Calculations (LOCKED)'!O126/'Formula Calculations (LOCKED)'!$O$2)*'Sheet 2. County Level Data'!$P$4</f>
        <v>#DIV/0!</v>
      </c>
      <c r="F126" s="29" t="e">
        <f>('Formula Calculations (LOCKED)'!D126/'Formula Calculations (LOCKED)'!$D$2)*'Sheet 2. County Level Data'!$P$4</f>
        <v>#DIV/0!</v>
      </c>
      <c r="G126" s="29" t="e">
        <f>'Sheet 2. County Level Data'!$T$11+(0.5*10000000)*'Formula Calculations (LOCKED)'!H126/'Formula Calculations (LOCKED)'!$H$2</f>
        <v>#DIV/0!</v>
      </c>
      <c r="H126" s="29" t="e">
        <f>(0.5*10000000)*'Formula Calculations (LOCKED)'!H126/'Formula Calculations (LOCKED)'!$H$2+(0.5*10000000)*'Formula Calculations (LOCKED)'!D126/'Formula Calculations (LOCKED)'!$D$2</f>
        <v>#DIV/0!</v>
      </c>
      <c r="I126" s="7" t="e">
        <f>'Sheet 2. County Level Data'!$T$12+(0.3333333333*10000000*('Formula Calculations (LOCKED)'!H126/'Formula Calculations (LOCKED)'!$H$2))+(0.3333333333*10000000*('Formula Calculations (LOCKED)'!D126/'Formula Calculations (LOCKED)'!$D$2))</f>
        <v>#DIV/0!</v>
      </c>
      <c r="J126" s="29" t="e">
        <f>'Sheet 2. County Level Data'!$T$13+(0.25*10000000*('Formula Calculations (LOCKED)'!H126/'Formula Calculations (LOCKED)'!$H$2))+(0.25*10000000*('Formula Calculations (LOCKED)'!D126/'Formula Calculations (LOCKED)'!$D$2))+(0.25*10000000*('Formula Calculations (LOCKED)'!L126/'Formula Calculations (LOCKED)'!$L$2))</f>
        <v>#DIV/0!</v>
      </c>
      <c r="K126" s="29" t="e">
        <f>'Sheet 2. County Level Data'!$T$13+(0.25*10000000*('Formula Calculations (LOCKED)'!H126/'Formula Calculations (LOCKED)'!$H$2))+(0.25*10000000*('Formula Calculations (LOCKED)'!D126/'Formula Calculations (LOCKED)'!$D$2))+(0.25*10000000*('Formula Calculations (LOCKED)'!O126/'Formula Calculations (LOCKED)'!$O$2))</f>
        <v>#DIV/0!</v>
      </c>
      <c r="L126" s="29" t="e">
        <f>IF('Formula Calculations (LOCKED)'!$G126=1,('Sheet 2. County Level Data'!$P$12*('Formula Calculations (LOCKED)'!K126/'Formula Calculations (LOCKED)'!$K$2)),((10000000-'Sheet 2. County Level Data'!$P$12)*'Formula Calculations (LOCKED)'!J126/'Formula Calculations (LOCKED)'!$J$2))</f>
        <v>#DIV/0!</v>
      </c>
      <c r="M126" s="29" t="e">
        <f>IF('Formula Calculations (LOCKED)'!$G126=1,((0.5*'Sheet 2. County Level Data'!$P$12)*('Formula Calculations (LOCKED)'!K126/'Formula Calculations (LOCKED)'!$K$2))+((0.5*'Sheet 2. County Level Data'!$P$12)*('Formula Calculations (LOCKED)'!N126/'Formula Calculations (LOCKED)'!$N$2)),((0.5*(10000000-'Sheet 2. County Level Data'!$P$12))*('Formula Calculations (LOCKED)'!J126/'Formula Calculations (LOCKED)'!$J$2))+((0.5*(10000000-'Sheet 2. County Level Data'!$P$12))*('Formula Calculations (LOCKED)'!M126/'Formula Calculations (LOCKED)'!$M$2)))</f>
        <v>#DIV/0!</v>
      </c>
      <c r="N126" s="29" t="e">
        <f>IF('Formula Calculations (LOCKED)'!$G126=1,((0.5*'Sheet 2. County Level Data'!$P$12)*('Formula Calculations (LOCKED)'!K126/'Formula Calculations (LOCKED)'!$K$2))+((0.5*'Sheet 2. County Level Data'!$P$12)*('Formula Calculations (LOCKED)'!R126/'Formula Calculations (LOCKED)'!$R$2)),((0.5*(10000000-'Sheet 2. County Level Data'!$P$12))*('Formula Calculations (LOCKED)'!J126/'Formula Calculations (LOCKED)'!$J$2))+((0.5*(10000000-'Sheet 2. County Level Data'!$P$12))*('Formula Calculations (LOCKED)'!Q126/'Formula Calculations (LOCKED)'!$Q$2)))</f>
        <v>#DIV/0!</v>
      </c>
    </row>
    <row r="127" spans="1:14" x14ac:dyDescent="0.2">
      <c r="A127" s="7">
        <f>'Sheet 2. County Level Data'!A125</f>
        <v>0</v>
      </c>
      <c r="B127" s="29" t="e">
        <f>('Formula Calculations (LOCKED)'!C127*'Sheet 2. County Level Data'!$P$4)</f>
        <v>#DIV/0!</v>
      </c>
      <c r="C127" s="29" t="e">
        <f>'Formula Calculations (LOCKED)'!H127/'Formula Calculations (LOCKED)'!$H$2*'Sheet 2. County Level Data'!$P$4</f>
        <v>#DIV/0!</v>
      </c>
      <c r="D127" s="29" t="e">
        <f>('Formula Calculations (LOCKED)'!L127/'Formula Calculations (LOCKED)'!$L$2)*'Sheet 2. County Level Data'!$P$4</f>
        <v>#DIV/0!</v>
      </c>
      <c r="E127" s="29" t="e">
        <f>('Formula Calculations (LOCKED)'!O127/'Formula Calculations (LOCKED)'!$O$2)*'Sheet 2. County Level Data'!$P$4</f>
        <v>#DIV/0!</v>
      </c>
      <c r="F127" s="29" t="e">
        <f>('Formula Calculations (LOCKED)'!D127/'Formula Calculations (LOCKED)'!$D$2)*'Sheet 2. County Level Data'!$P$4</f>
        <v>#DIV/0!</v>
      </c>
      <c r="G127" s="29" t="e">
        <f>'Sheet 2. County Level Data'!$T$11+(0.5*10000000)*'Formula Calculations (LOCKED)'!H127/'Formula Calculations (LOCKED)'!$H$2</f>
        <v>#DIV/0!</v>
      </c>
      <c r="H127" s="29" t="e">
        <f>(0.5*10000000)*'Formula Calculations (LOCKED)'!H127/'Formula Calculations (LOCKED)'!$H$2+(0.5*10000000)*'Formula Calculations (LOCKED)'!D127/'Formula Calculations (LOCKED)'!$D$2</f>
        <v>#DIV/0!</v>
      </c>
      <c r="I127" s="7" t="e">
        <f>'Sheet 2. County Level Data'!$T$12+(0.3333333333*10000000*('Formula Calculations (LOCKED)'!H127/'Formula Calculations (LOCKED)'!$H$2))+(0.3333333333*10000000*('Formula Calculations (LOCKED)'!D127/'Formula Calculations (LOCKED)'!$D$2))</f>
        <v>#DIV/0!</v>
      </c>
      <c r="J127" s="29" t="e">
        <f>'Sheet 2. County Level Data'!$T$13+(0.25*10000000*('Formula Calculations (LOCKED)'!H127/'Formula Calculations (LOCKED)'!$H$2))+(0.25*10000000*('Formula Calculations (LOCKED)'!D127/'Formula Calculations (LOCKED)'!$D$2))+(0.25*10000000*('Formula Calculations (LOCKED)'!L127/'Formula Calculations (LOCKED)'!$L$2))</f>
        <v>#DIV/0!</v>
      </c>
      <c r="K127" s="29" t="e">
        <f>'Sheet 2. County Level Data'!$T$13+(0.25*10000000*('Formula Calculations (LOCKED)'!H127/'Formula Calculations (LOCKED)'!$H$2))+(0.25*10000000*('Formula Calculations (LOCKED)'!D127/'Formula Calculations (LOCKED)'!$D$2))+(0.25*10000000*('Formula Calculations (LOCKED)'!O127/'Formula Calculations (LOCKED)'!$O$2))</f>
        <v>#DIV/0!</v>
      </c>
      <c r="L127" s="29" t="e">
        <f>IF('Formula Calculations (LOCKED)'!$G127=1,('Sheet 2. County Level Data'!$P$12*('Formula Calculations (LOCKED)'!K127/'Formula Calculations (LOCKED)'!$K$2)),((10000000-'Sheet 2. County Level Data'!$P$12)*'Formula Calculations (LOCKED)'!J127/'Formula Calculations (LOCKED)'!$J$2))</f>
        <v>#DIV/0!</v>
      </c>
      <c r="M127" s="29" t="e">
        <f>IF('Formula Calculations (LOCKED)'!$G127=1,((0.5*'Sheet 2. County Level Data'!$P$12)*('Formula Calculations (LOCKED)'!K127/'Formula Calculations (LOCKED)'!$K$2))+((0.5*'Sheet 2. County Level Data'!$P$12)*('Formula Calculations (LOCKED)'!N127/'Formula Calculations (LOCKED)'!$N$2)),((0.5*(10000000-'Sheet 2. County Level Data'!$P$12))*('Formula Calculations (LOCKED)'!J127/'Formula Calculations (LOCKED)'!$J$2))+((0.5*(10000000-'Sheet 2. County Level Data'!$P$12))*('Formula Calculations (LOCKED)'!M127/'Formula Calculations (LOCKED)'!$M$2)))</f>
        <v>#DIV/0!</v>
      </c>
      <c r="N127" s="29" t="e">
        <f>IF('Formula Calculations (LOCKED)'!$G127=1,((0.5*'Sheet 2. County Level Data'!$P$12)*('Formula Calculations (LOCKED)'!K127/'Formula Calculations (LOCKED)'!$K$2))+((0.5*'Sheet 2. County Level Data'!$P$12)*('Formula Calculations (LOCKED)'!R127/'Formula Calculations (LOCKED)'!$R$2)),((0.5*(10000000-'Sheet 2. County Level Data'!$P$12))*('Formula Calculations (LOCKED)'!J127/'Formula Calculations (LOCKED)'!$J$2))+((0.5*(10000000-'Sheet 2. County Level Data'!$P$12))*('Formula Calculations (LOCKED)'!Q127/'Formula Calculations (LOCKED)'!$Q$2)))</f>
        <v>#DIV/0!</v>
      </c>
    </row>
    <row r="128" spans="1:14" x14ac:dyDescent="0.2">
      <c r="A128" s="7">
        <f>'Sheet 2. County Level Data'!A126</f>
        <v>0</v>
      </c>
      <c r="B128" s="29" t="e">
        <f>('Formula Calculations (LOCKED)'!C128*'Sheet 2. County Level Data'!$P$4)</f>
        <v>#DIV/0!</v>
      </c>
      <c r="C128" s="29" t="e">
        <f>'Formula Calculations (LOCKED)'!H128/'Formula Calculations (LOCKED)'!$H$2*'Sheet 2. County Level Data'!$P$4</f>
        <v>#DIV/0!</v>
      </c>
      <c r="D128" s="29" t="e">
        <f>('Formula Calculations (LOCKED)'!L128/'Formula Calculations (LOCKED)'!$L$2)*'Sheet 2. County Level Data'!$P$4</f>
        <v>#DIV/0!</v>
      </c>
      <c r="E128" s="29" t="e">
        <f>('Formula Calculations (LOCKED)'!O128/'Formula Calculations (LOCKED)'!$O$2)*'Sheet 2. County Level Data'!$P$4</f>
        <v>#DIV/0!</v>
      </c>
      <c r="F128" s="29" t="e">
        <f>('Formula Calculations (LOCKED)'!D128/'Formula Calculations (LOCKED)'!$D$2)*'Sheet 2. County Level Data'!$P$4</f>
        <v>#DIV/0!</v>
      </c>
      <c r="G128" s="29" t="e">
        <f>'Sheet 2. County Level Data'!$T$11+(0.5*10000000)*'Formula Calculations (LOCKED)'!H128/'Formula Calculations (LOCKED)'!$H$2</f>
        <v>#DIV/0!</v>
      </c>
      <c r="H128" s="29" t="e">
        <f>(0.5*10000000)*'Formula Calculations (LOCKED)'!H128/'Formula Calculations (LOCKED)'!$H$2+(0.5*10000000)*'Formula Calculations (LOCKED)'!D128/'Formula Calculations (LOCKED)'!$D$2</f>
        <v>#DIV/0!</v>
      </c>
      <c r="I128" s="7" t="e">
        <f>'Sheet 2. County Level Data'!$T$12+(0.3333333333*10000000*('Formula Calculations (LOCKED)'!H128/'Formula Calculations (LOCKED)'!$H$2))+(0.3333333333*10000000*('Formula Calculations (LOCKED)'!D128/'Formula Calculations (LOCKED)'!$D$2))</f>
        <v>#DIV/0!</v>
      </c>
      <c r="J128" s="29" t="e">
        <f>'Sheet 2. County Level Data'!$T$13+(0.25*10000000*('Formula Calculations (LOCKED)'!H128/'Formula Calculations (LOCKED)'!$H$2))+(0.25*10000000*('Formula Calculations (LOCKED)'!D128/'Formula Calculations (LOCKED)'!$D$2))+(0.25*10000000*('Formula Calculations (LOCKED)'!L128/'Formula Calculations (LOCKED)'!$L$2))</f>
        <v>#DIV/0!</v>
      </c>
      <c r="K128" s="29" t="e">
        <f>'Sheet 2. County Level Data'!$T$13+(0.25*10000000*('Formula Calculations (LOCKED)'!H128/'Formula Calculations (LOCKED)'!$H$2))+(0.25*10000000*('Formula Calculations (LOCKED)'!D128/'Formula Calculations (LOCKED)'!$D$2))+(0.25*10000000*('Formula Calculations (LOCKED)'!O128/'Formula Calculations (LOCKED)'!$O$2))</f>
        <v>#DIV/0!</v>
      </c>
      <c r="L128" s="29" t="e">
        <f>IF('Formula Calculations (LOCKED)'!$G128=1,('Sheet 2. County Level Data'!$P$12*('Formula Calculations (LOCKED)'!K128/'Formula Calculations (LOCKED)'!$K$2)),((10000000-'Sheet 2. County Level Data'!$P$12)*'Formula Calculations (LOCKED)'!J128/'Formula Calculations (LOCKED)'!$J$2))</f>
        <v>#DIV/0!</v>
      </c>
      <c r="M128" s="29" t="e">
        <f>IF('Formula Calculations (LOCKED)'!$G128=1,((0.5*'Sheet 2. County Level Data'!$P$12)*('Formula Calculations (LOCKED)'!K128/'Formula Calculations (LOCKED)'!$K$2))+((0.5*'Sheet 2. County Level Data'!$P$12)*('Formula Calculations (LOCKED)'!N128/'Formula Calculations (LOCKED)'!$N$2)),((0.5*(10000000-'Sheet 2. County Level Data'!$P$12))*('Formula Calculations (LOCKED)'!J128/'Formula Calculations (LOCKED)'!$J$2))+((0.5*(10000000-'Sheet 2. County Level Data'!$P$12))*('Formula Calculations (LOCKED)'!M128/'Formula Calculations (LOCKED)'!$M$2)))</f>
        <v>#DIV/0!</v>
      </c>
      <c r="N128" s="29" t="e">
        <f>IF('Formula Calculations (LOCKED)'!$G128=1,((0.5*'Sheet 2. County Level Data'!$P$12)*('Formula Calculations (LOCKED)'!K128/'Formula Calculations (LOCKED)'!$K$2))+((0.5*'Sheet 2. County Level Data'!$P$12)*('Formula Calculations (LOCKED)'!R128/'Formula Calculations (LOCKED)'!$R$2)),((0.5*(10000000-'Sheet 2. County Level Data'!$P$12))*('Formula Calculations (LOCKED)'!J128/'Formula Calculations (LOCKED)'!$J$2))+((0.5*(10000000-'Sheet 2. County Level Data'!$P$12))*('Formula Calculations (LOCKED)'!Q128/'Formula Calculations (LOCKED)'!$Q$2)))</f>
        <v>#DIV/0!</v>
      </c>
    </row>
    <row r="129" spans="1:14" x14ac:dyDescent="0.2">
      <c r="A129" s="7">
        <f>'Sheet 2. County Level Data'!A127</f>
        <v>0</v>
      </c>
      <c r="B129" s="29" t="e">
        <f>('Formula Calculations (LOCKED)'!C129*'Sheet 2. County Level Data'!$P$4)</f>
        <v>#DIV/0!</v>
      </c>
      <c r="C129" s="29" t="e">
        <f>'Formula Calculations (LOCKED)'!H129/'Formula Calculations (LOCKED)'!$H$2*'Sheet 2. County Level Data'!$P$4</f>
        <v>#DIV/0!</v>
      </c>
      <c r="D129" s="29" t="e">
        <f>('Formula Calculations (LOCKED)'!L129/'Formula Calculations (LOCKED)'!$L$2)*'Sheet 2. County Level Data'!$P$4</f>
        <v>#DIV/0!</v>
      </c>
      <c r="E129" s="29" t="e">
        <f>('Formula Calculations (LOCKED)'!O129/'Formula Calculations (LOCKED)'!$O$2)*'Sheet 2. County Level Data'!$P$4</f>
        <v>#DIV/0!</v>
      </c>
      <c r="F129" s="29" t="e">
        <f>('Formula Calculations (LOCKED)'!D129/'Formula Calculations (LOCKED)'!$D$2)*'Sheet 2. County Level Data'!$P$4</f>
        <v>#DIV/0!</v>
      </c>
      <c r="G129" s="29" t="e">
        <f>'Sheet 2. County Level Data'!$T$11+(0.5*10000000)*'Formula Calculations (LOCKED)'!H129/'Formula Calculations (LOCKED)'!$H$2</f>
        <v>#DIV/0!</v>
      </c>
      <c r="H129" s="29" t="e">
        <f>(0.5*10000000)*'Formula Calculations (LOCKED)'!H129/'Formula Calculations (LOCKED)'!$H$2+(0.5*10000000)*'Formula Calculations (LOCKED)'!D129/'Formula Calculations (LOCKED)'!$D$2</f>
        <v>#DIV/0!</v>
      </c>
      <c r="I129" s="7" t="e">
        <f>'Sheet 2. County Level Data'!$T$12+(0.3333333333*10000000*('Formula Calculations (LOCKED)'!H129/'Formula Calculations (LOCKED)'!$H$2))+(0.3333333333*10000000*('Formula Calculations (LOCKED)'!D129/'Formula Calculations (LOCKED)'!$D$2))</f>
        <v>#DIV/0!</v>
      </c>
      <c r="J129" s="29" t="e">
        <f>'Sheet 2. County Level Data'!$T$13+(0.25*10000000*('Formula Calculations (LOCKED)'!H129/'Formula Calculations (LOCKED)'!$H$2))+(0.25*10000000*('Formula Calculations (LOCKED)'!D129/'Formula Calculations (LOCKED)'!$D$2))+(0.25*10000000*('Formula Calculations (LOCKED)'!L129/'Formula Calculations (LOCKED)'!$L$2))</f>
        <v>#DIV/0!</v>
      </c>
      <c r="K129" s="29" t="e">
        <f>'Sheet 2. County Level Data'!$T$13+(0.25*10000000*('Formula Calculations (LOCKED)'!H129/'Formula Calculations (LOCKED)'!$H$2))+(0.25*10000000*('Formula Calculations (LOCKED)'!D129/'Formula Calculations (LOCKED)'!$D$2))+(0.25*10000000*('Formula Calculations (LOCKED)'!O129/'Formula Calculations (LOCKED)'!$O$2))</f>
        <v>#DIV/0!</v>
      </c>
      <c r="L129" s="29" t="e">
        <f>IF('Formula Calculations (LOCKED)'!$G129=1,('Sheet 2. County Level Data'!$P$12*('Formula Calculations (LOCKED)'!K129/'Formula Calculations (LOCKED)'!$K$2)),((10000000-'Sheet 2. County Level Data'!$P$12)*'Formula Calculations (LOCKED)'!J129/'Formula Calculations (LOCKED)'!$J$2))</f>
        <v>#DIV/0!</v>
      </c>
      <c r="M129" s="29" t="e">
        <f>IF('Formula Calculations (LOCKED)'!$G129=1,((0.5*'Sheet 2. County Level Data'!$P$12)*('Formula Calculations (LOCKED)'!K129/'Formula Calculations (LOCKED)'!$K$2))+((0.5*'Sheet 2. County Level Data'!$P$12)*('Formula Calculations (LOCKED)'!N129/'Formula Calculations (LOCKED)'!$N$2)),((0.5*(10000000-'Sheet 2. County Level Data'!$P$12))*('Formula Calculations (LOCKED)'!J129/'Formula Calculations (LOCKED)'!$J$2))+((0.5*(10000000-'Sheet 2. County Level Data'!$P$12))*('Formula Calculations (LOCKED)'!M129/'Formula Calculations (LOCKED)'!$M$2)))</f>
        <v>#DIV/0!</v>
      </c>
      <c r="N129" s="29" t="e">
        <f>IF('Formula Calculations (LOCKED)'!$G129=1,((0.5*'Sheet 2. County Level Data'!$P$12)*('Formula Calculations (LOCKED)'!K129/'Formula Calculations (LOCKED)'!$K$2))+((0.5*'Sheet 2. County Level Data'!$P$12)*('Formula Calculations (LOCKED)'!R129/'Formula Calculations (LOCKED)'!$R$2)),((0.5*(10000000-'Sheet 2. County Level Data'!$P$12))*('Formula Calculations (LOCKED)'!J129/'Formula Calculations (LOCKED)'!$J$2))+((0.5*(10000000-'Sheet 2. County Level Data'!$P$12))*('Formula Calculations (LOCKED)'!Q129/'Formula Calculations (LOCKED)'!$Q$2)))</f>
        <v>#DIV/0!</v>
      </c>
    </row>
    <row r="130" spans="1:14" x14ac:dyDescent="0.2">
      <c r="A130" s="7">
        <f>'Sheet 2. County Level Data'!A128</f>
        <v>0</v>
      </c>
      <c r="B130" s="29" t="e">
        <f>('Formula Calculations (LOCKED)'!C130*'Sheet 2. County Level Data'!$P$4)</f>
        <v>#DIV/0!</v>
      </c>
      <c r="C130" s="29" t="e">
        <f>'Formula Calculations (LOCKED)'!H130/'Formula Calculations (LOCKED)'!$H$2*'Sheet 2. County Level Data'!$P$4</f>
        <v>#DIV/0!</v>
      </c>
      <c r="D130" s="29" t="e">
        <f>('Formula Calculations (LOCKED)'!L130/'Formula Calculations (LOCKED)'!$L$2)*'Sheet 2. County Level Data'!$P$4</f>
        <v>#DIV/0!</v>
      </c>
      <c r="E130" s="29" t="e">
        <f>('Formula Calculations (LOCKED)'!O130/'Formula Calculations (LOCKED)'!$O$2)*'Sheet 2. County Level Data'!$P$4</f>
        <v>#DIV/0!</v>
      </c>
      <c r="F130" s="29" t="e">
        <f>('Formula Calculations (LOCKED)'!D130/'Formula Calculations (LOCKED)'!$D$2)*'Sheet 2. County Level Data'!$P$4</f>
        <v>#DIV/0!</v>
      </c>
      <c r="G130" s="29" t="e">
        <f>'Sheet 2. County Level Data'!$T$11+(0.5*10000000)*'Formula Calculations (LOCKED)'!H130/'Formula Calculations (LOCKED)'!$H$2</f>
        <v>#DIV/0!</v>
      </c>
      <c r="H130" s="29" t="e">
        <f>(0.5*10000000)*'Formula Calculations (LOCKED)'!H130/'Formula Calculations (LOCKED)'!$H$2+(0.5*10000000)*'Formula Calculations (LOCKED)'!D130/'Formula Calculations (LOCKED)'!$D$2</f>
        <v>#DIV/0!</v>
      </c>
      <c r="I130" s="7" t="e">
        <f>'Sheet 2. County Level Data'!$T$12+(0.3333333333*10000000*('Formula Calculations (LOCKED)'!H130/'Formula Calculations (LOCKED)'!$H$2))+(0.3333333333*10000000*('Formula Calculations (LOCKED)'!D130/'Formula Calculations (LOCKED)'!$D$2))</f>
        <v>#DIV/0!</v>
      </c>
      <c r="J130" s="29" t="e">
        <f>'Sheet 2. County Level Data'!$T$13+(0.25*10000000*('Formula Calculations (LOCKED)'!H130/'Formula Calculations (LOCKED)'!$H$2))+(0.25*10000000*('Formula Calculations (LOCKED)'!D130/'Formula Calculations (LOCKED)'!$D$2))+(0.25*10000000*('Formula Calculations (LOCKED)'!L130/'Formula Calculations (LOCKED)'!$L$2))</f>
        <v>#DIV/0!</v>
      </c>
      <c r="K130" s="29" t="e">
        <f>'Sheet 2. County Level Data'!$T$13+(0.25*10000000*('Formula Calculations (LOCKED)'!H130/'Formula Calculations (LOCKED)'!$H$2))+(0.25*10000000*('Formula Calculations (LOCKED)'!D130/'Formula Calculations (LOCKED)'!$D$2))+(0.25*10000000*('Formula Calculations (LOCKED)'!O130/'Formula Calculations (LOCKED)'!$O$2))</f>
        <v>#DIV/0!</v>
      </c>
      <c r="L130" s="29" t="e">
        <f>IF('Formula Calculations (LOCKED)'!$G130=1,('Sheet 2. County Level Data'!$P$12*('Formula Calculations (LOCKED)'!K130/'Formula Calculations (LOCKED)'!$K$2)),((10000000-'Sheet 2. County Level Data'!$P$12)*'Formula Calculations (LOCKED)'!J130/'Formula Calculations (LOCKED)'!$J$2))</f>
        <v>#DIV/0!</v>
      </c>
      <c r="M130" s="29" t="e">
        <f>IF('Formula Calculations (LOCKED)'!$G130=1,((0.5*'Sheet 2. County Level Data'!$P$12)*('Formula Calculations (LOCKED)'!K130/'Formula Calculations (LOCKED)'!$K$2))+((0.5*'Sheet 2. County Level Data'!$P$12)*('Formula Calculations (LOCKED)'!N130/'Formula Calculations (LOCKED)'!$N$2)),((0.5*(10000000-'Sheet 2. County Level Data'!$P$12))*('Formula Calculations (LOCKED)'!J130/'Formula Calculations (LOCKED)'!$J$2))+((0.5*(10000000-'Sheet 2. County Level Data'!$P$12))*('Formula Calculations (LOCKED)'!M130/'Formula Calculations (LOCKED)'!$M$2)))</f>
        <v>#DIV/0!</v>
      </c>
      <c r="N130" s="29" t="e">
        <f>IF('Formula Calculations (LOCKED)'!$G130=1,((0.5*'Sheet 2. County Level Data'!$P$12)*('Formula Calculations (LOCKED)'!K130/'Formula Calculations (LOCKED)'!$K$2))+((0.5*'Sheet 2. County Level Data'!$P$12)*('Formula Calculations (LOCKED)'!R130/'Formula Calculations (LOCKED)'!$R$2)),((0.5*(10000000-'Sheet 2. County Level Data'!$P$12))*('Formula Calculations (LOCKED)'!J130/'Formula Calculations (LOCKED)'!$J$2))+((0.5*(10000000-'Sheet 2. County Level Data'!$P$12))*('Formula Calculations (LOCKED)'!Q130/'Formula Calculations (LOCKED)'!$Q$2)))</f>
        <v>#DIV/0!</v>
      </c>
    </row>
    <row r="131" spans="1:14" x14ac:dyDescent="0.2">
      <c r="A131" s="7">
        <f>'Sheet 2. County Level Data'!A129</f>
        <v>0</v>
      </c>
      <c r="B131" s="29" t="e">
        <f>('Formula Calculations (LOCKED)'!C131*'Sheet 2. County Level Data'!$P$4)</f>
        <v>#DIV/0!</v>
      </c>
      <c r="C131" s="29" t="e">
        <f>'Formula Calculations (LOCKED)'!H131/'Formula Calculations (LOCKED)'!$H$2*'Sheet 2. County Level Data'!$P$4</f>
        <v>#DIV/0!</v>
      </c>
      <c r="D131" s="29" t="e">
        <f>('Formula Calculations (LOCKED)'!L131/'Formula Calculations (LOCKED)'!$L$2)*'Sheet 2. County Level Data'!$P$4</f>
        <v>#DIV/0!</v>
      </c>
      <c r="E131" s="29" t="e">
        <f>('Formula Calculations (LOCKED)'!O131/'Formula Calculations (LOCKED)'!$O$2)*'Sheet 2. County Level Data'!$P$4</f>
        <v>#DIV/0!</v>
      </c>
      <c r="F131" s="29" t="e">
        <f>('Formula Calculations (LOCKED)'!D131/'Formula Calculations (LOCKED)'!$D$2)*'Sheet 2. County Level Data'!$P$4</f>
        <v>#DIV/0!</v>
      </c>
      <c r="G131" s="29" t="e">
        <f>'Sheet 2. County Level Data'!$T$11+(0.5*10000000)*'Formula Calculations (LOCKED)'!H131/'Formula Calculations (LOCKED)'!$H$2</f>
        <v>#DIV/0!</v>
      </c>
      <c r="H131" s="29" t="e">
        <f>(0.5*10000000)*'Formula Calculations (LOCKED)'!H131/'Formula Calculations (LOCKED)'!$H$2+(0.5*10000000)*'Formula Calculations (LOCKED)'!D131/'Formula Calculations (LOCKED)'!$D$2</f>
        <v>#DIV/0!</v>
      </c>
      <c r="I131" s="7" t="e">
        <f>'Sheet 2. County Level Data'!$T$12+(0.3333333333*10000000*('Formula Calculations (LOCKED)'!H131/'Formula Calculations (LOCKED)'!$H$2))+(0.3333333333*10000000*('Formula Calculations (LOCKED)'!D131/'Formula Calculations (LOCKED)'!$D$2))</f>
        <v>#DIV/0!</v>
      </c>
      <c r="J131" s="29" t="e">
        <f>'Sheet 2. County Level Data'!$T$13+(0.25*10000000*('Formula Calculations (LOCKED)'!H131/'Formula Calculations (LOCKED)'!$H$2))+(0.25*10000000*('Formula Calculations (LOCKED)'!D131/'Formula Calculations (LOCKED)'!$D$2))+(0.25*10000000*('Formula Calculations (LOCKED)'!L131/'Formula Calculations (LOCKED)'!$L$2))</f>
        <v>#DIV/0!</v>
      </c>
      <c r="K131" s="29" t="e">
        <f>'Sheet 2. County Level Data'!$T$13+(0.25*10000000*('Formula Calculations (LOCKED)'!H131/'Formula Calculations (LOCKED)'!$H$2))+(0.25*10000000*('Formula Calculations (LOCKED)'!D131/'Formula Calculations (LOCKED)'!$D$2))+(0.25*10000000*('Formula Calculations (LOCKED)'!O131/'Formula Calculations (LOCKED)'!$O$2))</f>
        <v>#DIV/0!</v>
      </c>
      <c r="L131" s="29" t="e">
        <f>IF('Formula Calculations (LOCKED)'!$G131=1,('Sheet 2. County Level Data'!$P$12*('Formula Calculations (LOCKED)'!K131/'Formula Calculations (LOCKED)'!$K$2)),((10000000-'Sheet 2. County Level Data'!$P$12)*'Formula Calculations (LOCKED)'!J131/'Formula Calculations (LOCKED)'!$J$2))</f>
        <v>#DIV/0!</v>
      </c>
      <c r="M131" s="29" t="e">
        <f>IF('Formula Calculations (LOCKED)'!$G131=1,((0.5*'Sheet 2. County Level Data'!$P$12)*('Formula Calculations (LOCKED)'!K131/'Formula Calculations (LOCKED)'!$K$2))+((0.5*'Sheet 2. County Level Data'!$P$12)*('Formula Calculations (LOCKED)'!N131/'Formula Calculations (LOCKED)'!$N$2)),((0.5*(10000000-'Sheet 2. County Level Data'!$P$12))*('Formula Calculations (LOCKED)'!J131/'Formula Calculations (LOCKED)'!$J$2))+((0.5*(10000000-'Sheet 2. County Level Data'!$P$12))*('Formula Calculations (LOCKED)'!M131/'Formula Calculations (LOCKED)'!$M$2)))</f>
        <v>#DIV/0!</v>
      </c>
      <c r="N131" s="29" t="e">
        <f>IF('Formula Calculations (LOCKED)'!$G131=1,((0.5*'Sheet 2. County Level Data'!$P$12)*('Formula Calculations (LOCKED)'!K131/'Formula Calculations (LOCKED)'!$K$2))+((0.5*'Sheet 2. County Level Data'!$P$12)*('Formula Calculations (LOCKED)'!R131/'Formula Calculations (LOCKED)'!$R$2)),((0.5*(10000000-'Sheet 2. County Level Data'!$P$12))*('Formula Calculations (LOCKED)'!J131/'Formula Calculations (LOCKED)'!$J$2))+((0.5*(10000000-'Sheet 2. County Level Data'!$P$12))*('Formula Calculations (LOCKED)'!Q131/'Formula Calculations (LOCKED)'!$Q$2)))</f>
        <v>#DIV/0!</v>
      </c>
    </row>
    <row r="132" spans="1:14" x14ac:dyDescent="0.2">
      <c r="A132" s="7">
        <f>'Sheet 2. County Level Data'!A130</f>
        <v>0</v>
      </c>
      <c r="B132" s="29" t="e">
        <f>('Formula Calculations (LOCKED)'!C132*'Sheet 2. County Level Data'!$P$4)</f>
        <v>#DIV/0!</v>
      </c>
      <c r="C132" s="29" t="e">
        <f>'Formula Calculations (LOCKED)'!H132/'Formula Calculations (LOCKED)'!$H$2*'Sheet 2. County Level Data'!$P$4</f>
        <v>#DIV/0!</v>
      </c>
      <c r="D132" s="29" t="e">
        <f>('Formula Calculations (LOCKED)'!L132/'Formula Calculations (LOCKED)'!$L$2)*'Sheet 2. County Level Data'!$P$4</f>
        <v>#DIV/0!</v>
      </c>
      <c r="E132" s="29" t="e">
        <f>('Formula Calculations (LOCKED)'!O132/'Formula Calculations (LOCKED)'!$O$2)*'Sheet 2. County Level Data'!$P$4</f>
        <v>#DIV/0!</v>
      </c>
      <c r="F132" s="29" t="e">
        <f>('Formula Calculations (LOCKED)'!D132/'Formula Calculations (LOCKED)'!$D$2)*'Sheet 2. County Level Data'!$P$4</f>
        <v>#DIV/0!</v>
      </c>
      <c r="G132" s="29" t="e">
        <f>'Sheet 2. County Level Data'!$T$11+(0.5*10000000)*'Formula Calculations (LOCKED)'!H132/'Formula Calculations (LOCKED)'!$H$2</f>
        <v>#DIV/0!</v>
      </c>
      <c r="H132" s="29" t="e">
        <f>(0.5*10000000)*'Formula Calculations (LOCKED)'!H132/'Formula Calculations (LOCKED)'!$H$2+(0.5*10000000)*'Formula Calculations (LOCKED)'!D132/'Formula Calculations (LOCKED)'!$D$2</f>
        <v>#DIV/0!</v>
      </c>
      <c r="I132" s="7" t="e">
        <f>'Sheet 2. County Level Data'!$T$12+(0.3333333333*10000000*('Formula Calculations (LOCKED)'!H132/'Formula Calculations (LOCKED)'!$H$2))+(0.3333333333*10000000*('Formula Calculations (LOCKED)'!D132/'Formula Calculations (LOCKED)'!$D$2))</f>
        <v>#DIV/0!</v>
      </c>
      <c r="J132" s="29" t="e">
        <f>'Sheet 2. County Level Data'!$T$13+(0.25*10000000*('Formula Calculations (LOCKED)'!H132/'Formula Calculations (LOCKED)'!$H$2))+(0.25*10000000*('Formula Calculations (LOCKED)'!D132/'Formula Calculations (LOCKED)'!$D$2))+(0.25*10000000*('Formula Calculations (LOCKED)'!L132/'Formula Calculations (LOCKED)'!$L$2))</f>
        <v>#DIV/0!</v>
      </c>
      <c r="K132" s="29" t="e">
        <f>'Sheet 2. County Level Data'!$T$13+(0.25*10000000*('Formula Calculations (LOCKED)'!H132/'Formula Calculations (LOCKED)'!$H$2))+(0.25*10000000*('Formula Calculations (LOCKED)'!D132/'Formula Calculations (LOCKED)'!$D$2))+(0.25*10000000*('Formula Calculations (LOCKED)'!O132/'Formula Calculations (LOCKED)'!$O$2))</f>
        <v>#DIV/0!</v>
      </c>
      <c r="L132" s="29" t="e">
        <f>IF('Formula Calculations (LOCKED)'!$G132=1,('Sheet 2. County Level Data'!$P$12*('Formula Calculations (LOCKED)'!K132/'Formula Calculations (LOCKED)'!$K$2)),((10000000-'Sheet 2. County Level Data'!$P$12)*'Formula Calculations (LOCKED)'!J132/'Formula Calculations (LOCKED)'!$J$2))</f>
        <v>#DIV/0!</v>
      </c>
      <c r="M132" s="29" t="e">
        <f>IF('Formula Calculations (LOCKED)'!$G132=1,((0.5*'Sheet 2. County Level Data'!$P$12)*('Formula Calculations (LOCKED)'!K132/'Formula Calculations (LOCKED)'!$K$2))+((0.5*'Sheet 2. County Level Data'!$P$12)*('Formula Calculations (LOCKED)'!N132/'Formula Calculations (LOCKED)'!$N$2)),((0.5*(10000000-'Sheet 2. County Level Data'!$P$12))*('Formula Calculations (LOCKED)'!J132/'Formula Calculations (LOCKED)'!$J$2))+((0.5*(10000000-'Sheet 2. County Level Data'!$P$12))*('Formula Calculations (LOCKED)'!M132/'Formula Calculations (LOCKED)'!$M$2)))</f>
        <v>#DIV/0!</v>
      </c>
      <c r="N132" s="29" t="e">
        <f>IF('Formula Calculations (LOCKED)'!$G132=1,((0.5*'Sheet 2. County Level Data'!$P$12)*('Formula Calculations (LOCKED)'!K132/'Formula Calculations (LOCKED)'!$K$2))+((0.5*'Sheet 2. County Level Data'!$P$12)*('Formula Calculations (LOCKED)'!R132/'Formula Calculations (LOCKED)'!$R$2)),((0.5*(10000000-'Sheet 2. County Level Data'!$P$12))*('Formula Calculations (LOCKED)'!J132/'Formula Calculations (LOCKED)'!$J$2))+((0.5*(10000000-'Sheet 2. County Level Data'!$P$12))*('Formula Calculations (LOCKED)'!Q132/'Formula Calculations (LOCKED)'!$Q$2)))</f>
        <v>#DIV/0!</v>
      </c>
    </row>
    <row r="133" spans="1:14" x14ac:dyDescent="0.2">
      <c r="A133" s="7">
        <f>'Sheet 2. County Level Data'!A131</f>
        <v>0</v>
      </c>
      <c r="B133" s="29" t="e">
        <f>('Formula Calculations (LOCKED)'!C133*'Sheet 2. County Level Data'!$P$4)</f>
        <v>#DIV/0!</v>
      </c>
      <c r="C133" s="29" t="e">
        <f>'Formula Calculations (LOCKED)'!H133/'Formula Calculations (LOCKED)'!$H$2*'Sheet 2. County Level Data'!$P$4</f>
        <v>#DIV/0!</v>
      </c>
      <c r="D133" s="29" t="e">
        <f>('Formula Calculations (LOCKED)'!L133/'Formula Calculations (LOCKED)'!$L$2)*'Sheet 2. County Level Data'!$P$4</f>
        <v>#DIV/0!</v>
      </c>
      <c r="E133" s="29" t="e">
        <f>('Formula Calculations (LOCKED)'!O133/'Formula Calculations (LOCKED)'!$O$2)*'Sheet 2. County Level Data'!$P$4</f>
        <v>#DIV/0!</v>
      </c>
      <c r="F133" s="29" t="e">
        <f>('Formula Calculations (LOCKED)'!D133/'Formula Calculations (LOCKED)'!$D$2)*'Sheet 2. County Level Data'!$P$4</f>
        <v>#DIV/0!</v>
      </c>
      <c r="G133" s="29" t="e">
        <f>'Sheet 2. County Level Data'!$T$11+(0.5*10000000)*'Formula Calculations (LOCKED)'!H133/'Formula Calculations (LOCKED)'!$H$2</f>
        <v>#DIV/0!</v>
      </c>
      <c r="H133" s="29" t="e">
        <f>(0.5*10000000)*'Formula Calculations (LOCKED)'!H133/'Formula Calculations (LOCKED)'!$H$2+(0.5*10000000)*'Formula Calculations (LOCKED)'!D133/'Formula Calculations (LOCKED)'!$D$2</f>
        <v>#DIV/0!</v>
      </c>
      <c r="I133" s="7" t="e">
        <f>'Sheet 2. County Level Data'!$T$12+(0.3333333333*10000000*('Formula Calculations (LOCKED)'!H133/'Formula Calculations (LOCKED)'!$H$2))+(0.3333333333*10000000*('Formula Calculations (LOCKED)'!D133/'Formula Calculations (LOCKED)'!$D$2))</f>
        <v>#DIV/0!</v>
      </c>
      <c r="J133" s="29" t="e">
        <f>'Sheet 2. County Level Data'!$T$13+(0.25*10000000*('Formula Calculations (LOCKED)'!H133/'Formula Calculations (LOCKED)'!$H$2))+(0.25*10000000*('Formula Calculations (LOCKED)'!D133/'Formula Calculations (LOCKED)'!$D$2))+(0.25*10000000*('Formula Calculations (LOCKED)'!L133/'Formula Calculations (LOCKED)'!$L$2))</f>
        <v>#DIV/0!</v>
      </c>
      <c r="K133" s="29" t="e">
        <f>'Sheet 2. County Level Data'!$T$13+(0.25*10000000*('Formula Calculations (LOCKED)'!H133/'Formula Calculations (LOCKED)'!$H$2))+(0.25*10000000*('Formula Calculations (LOCKED)'!D133/'Formula Calculations (LOCKED)'!$D$2))+(0.25*10000000*('Formula Calculations (LOCKED)'!O133/'Formula Calculations (LOCKED)'!$O$2))</f>
        <v>#DIV/0!</v>
      </c>
      <c r="L133" s="29" t="e">
        <f>IF('Formula Calculations (LOCKED)'!$G133=1,('Sheet 2. County Level Data'!$P$12*('Formula Calculations (LOCKED)'!K133/'Formula Calculations (LOCKED)'!$K$2)),((10000000-'Sheet 2. County Level Data'!$P$12)*'Formula Calculations (LOCKED)'!J133/'Formula Calculations (LOCKED)'!$J$2))</f>
        <v>#DIV/0!</v>
      </c>
      <c r="M133" s="29" t="e">
        <f>IF('Formula Calculations (LOCKED)'!$G133=1,((0.5*'Sheet 2. County Level Data'!$P$12)*('Formula Calculations (LOCKED)'!K133/'Formula Calculations (LOCKED)'!$K$2))+((0.5*'Sheet 2. County Level Data'!$P$12)*('Formula Calculations (LOCKED)'!N133/'Formula Calculations (LOCKED)'!$N$2)),((0.5*(10000000-'Sheet 2. County Level Data'!$P$12))*('Formula Calculations (LOCKED)'!J133/'Formula Calculations (LOCKED)'!$J$2))+((0.5*(10000000-'Sheet 2. County Level Data'!$P$12))*('Formula Calculations (LOCKED)'!M133/'Formula Calculations (LOCKED)'!$M$2)))</f>
        <v>#DIV/0!</v>
      </c>
      <c r="N133" s="29" t="e">
        <f>IF('Formula Calculations (LOCKED)'!$G133=1,((0.5*'Sheet 2. County Level Data'!$P$12)*('Formula Calculations (LOCKED)'!K133/'Formula Calculations (LOCKED)'!$K$2))+((0.5*'Sheet 2. County Level Data'!$P$12)*('Formula Calculations (LOCKED)'!R133/'Formula Calculations (LOCKED)'!$R$2)),((0.5*(10000000-'Sheet 2. County Level Data'!$P$12))*('Formula Calculations (LOCKED)'!J133/'Formula Calculations (LOCKED)'!$J$2))+((0.5*(10000000-'Sheet 2. County Level Data'!$P$12))*('Formula Calculations (LOCKED)'!Q133/'Formula Calculations (LOCKED)'!$Q$2)))</f>
        <v>#DIV/0!</v>
      </c>
    </row>
    <row r="134" spans="1:14" x14ac:dyDescent="0.2">
      <c r="A134" s="7">
        <f>'Sheet 2. County Level Data'!A132</f>
        <v>0</v>
      </c>
      <c r="B134" s="29" t="e">
        <f>('Formula Calculations (LOCKED)'!C134*'Sheet 2. County Level Data'!$P$4)</f>
        <v>#DIV/0!</v>
      </c>
      <c r="C134" s="29" t="e">
        <f>'Formula Calculations (LOCKED)'!H134/'Formula Calculations (LOCKED)'!$H$2*'Sheet 2. County Level Data'!$P$4</f>
        <v>#DIV/0!</v>
      </c>
      <c r="D134" s="29" t="e">
        <f>('Formula Calculations (LOCKED)'!L134/'Formula Calculations (LOCKED)'!$L$2)*'Sheet 2. County Level Data'!$P$4</f>
        <v>#DIV/0!</v>
      </c>
      <c r="E134" s="29" t="e">
        <f>('Formula Calculations (LOCKED)'!O134/'Formula Calculations (LOCKED)'!$O$2)*'Sheet 2. County Level Data'!$P$4</f>
        <v>#DIV/0!</v>
      </c>
      <c r="F134" s="29" t="e">
        <f>('Formula Calculations (LOCKED)'!D134/'Formula Calculations (LOCKED)'!$D$2)*'Sheet 2. County Level Data'!$P$4</f>
        <v>#DIV/0!</v>
      </c>
      <c r="G134" s="29" t="e">
        <f>'Sheet 2. County Level Data'!$T$11+(0.5*10000000)*'Formula Calculations (LOCKED)'!H134/'Formula Calculations (LOCKED)'!$H$2</f>
        <v>#DIV/0!</v>
      </c>
      <c r="H134" s="29" t="e">
        <f>(0.5*10000000)*'Formula Calculations (LOCKED)'!H134/'Formula Calculations (LOCKED)'!$H$2+(0.5*10000000)*'Formula Calculations (LOCKED)'!D134/'Formula Calculations (LOCKED)'!$D$2</f>
        <v>#DIV/0!</v>
      </c>
      <c r="I134" s="7" t="e">
        <f>'Sheet 2. County Level Data'!$T$12+(0.3333333333*10000000*('Formula Calculations (LOCKED)'!H134/'Formula Calculations (LOCKED)'!$H$2))+(0.3333333333*10000000*('Formula Calculations (LOCKED)'!D134/'Formula Calculations (LOCKED)'!$D$2))</f>
        <v>#DIV/0!</v>
      </c>
      <c r="J134" s="29" t="e">
        <f>'Sheet 2. County Level Data'!$T$13+(0.25*10000000*('Formula Calculations (LOCKED)'!H134/'Formula Calculations (LOCKED)'!$H$2))+(0.25*10000000*('Formula Calculations (LOCKED)'!D134/'Formula Calculations (LOCKED)'!$D$2))+(0.25*10000000*('Formula Calculations (LOCKED)'!L134/'Formula Calculations (LOCKED)'!$L$2))</f>
        <v>#DIV/0!</v>
      </c>
      <c r="K134" s="29" t="e">
        <f>'Sheet 2. County Level Data'!$T$13+(0.25*10000000*('Formula Calculations (LOCKED)'!H134/'Formula Calculations (LOCKED)'!$H$2))+(0.25*10000000*('Formula Calculations (LOCKED)'!D134/'Formula Calculations (LOCKED)'!$D$2))+(0.25*10000000*('Formula Calculations (LOCKED)'!O134/'Formula Calculations (LOCKED)'!$O$2))</f>
        <v>#DIV/0!</v>
      </c>
      <c r="L134" s="29" t="e">
        <f>IF('Formula Calculations (LOCKED)'!$G134=1,('Sheet 2. County Level Data'!$P$12*('Formula Calculations (LOCKED)'!K134/'Formula Calculations (LOCKED)'!$K$2)),((10000000-'Sheet 2. County Level Data'!$P$12)*'Formula Calculations (LOCKED)'!J134/'Formula Calculations (LOCKED)'!$J$2))</f>
        <v>#DIV/0!</v>
      </c>
      <c r="M134" s="29" t="e">
        <f>IF('Formula Calculations (LOCKED)'!$G134=1,((0.5*'Sheet 2. County Level Data'!$P$12)*('Formula Calculations (LOCKED)'!K134/'Formula Calculations (LOCKED)'!$K$2))+((0.5*'Sheet 2. County Level Data'!$P$12)*('Formula Calculations (LOCKED)'!N134/'Formula Calculations (LOCKED)'!$N$2)),((0.5*(10000000-'Sheet 2. County Level Data'!$P$12))*('Formula Calculations (LOCKED)'!J134/'Formula Calculations (LOCKED)'!$J$2))+((0.5*(10000000-'Sheet 2. County Level Data'!$P$12))*('Formula Calculations (LOCKED)'!M134/'Formula Calculations (LOCKED)'!$M$2)))</f>
        <v>#DIV/0!</v>
      </c>
      <c r="N134" s="29" t="e">
        <f>IF('Formula Calculations (LOCKED)'!$G134=1,((0.5*'Sheet 2. County Level Data'!$P$12)*('Formula Calculations (LOCKED)'!K134/'Formula Calculations (LOCKED)'!$K$2))+((0.5*'Sheet 2. County Level Data'!$P$12)*('Formula Calculations (LOCKED)'!R134/'Formula Calculations (LOCKED)'!$R$2)),((0.5*(10000000-'Sheet 2. County Level Data'!$P$12))*('Formula Calculations (LOCKED)'!J134/'Formula Calculations (LOCKED)'!$J$2))+((0.5*(10000000-'Sheet 2. County Level Data'!$P$12))*('Formula Calculations (LOCKED)'!Q134/'Formula Calculations (LOCKED)'!$Q$2)))</f>
        <v>#DIV/0!</v>
      </c>
    </row>
    <row r="135" spans="1:14" x14ac:dyDescent="0.2">
      <c r="A135" s="7">
        <f>'Sheet 2. County Level Data'!A133</f>
        <v>0</v>
      </c>
      <c r="B135" s="29" t="e">
        <f>('Formula Calculations (LOCKED)'!C135*'Sheet 2. County Level Data'!$P$4)</f>
        <v>#DIV/0!</v>
      </c>
      <c r="C135" s="29" t="e">
        <f>'Formula Calculations (LOCKED)'!H135/'Formula Calculations (LOCKED)'!$H$2*'Sheet 2. County Level Data'!$P$4</f>
        <v>#DIV/0!</v>
      </c>
      <c r="D135" s="29" t="e">
        <f>('Formula Calculations (LOCKED)'!L135/'Formula Calculations (LOCKED)'!$L$2)*'Sheet 2. County Level Data'!$P$4</f>
        <v>#DIV/0!</v>
      </c>
      <c r="E135" s="29" t="e">
        <f>('Formula Calculations (LOCKED)'!O135/'Formula Calculations (LOCKED)'!$O$2)*'Sheet 2. County Level Data'!$P$4</f>
        <v>#DIV/0!</v>
      </c>
      <c r="F135" s="29" t="e">
        <f>('Formula Calculations (LOCKED)'!D135/'Formula Calculations (LOCKED)'!$D$2)*'Sheet 2. County Level Data'!$P$4</f>
        <v>#DIV/0!</v>
      </c>
      <c r="G135" s="29" t="e">
        <f>'Sheet 2. County Level Data'!$T$11+(0.5*10000000)*'Formula Calculations (LOCKED)'!H135/'Formula Calculations (LOCKED)'!$H$2</f>
        <v>#DIV/0!</v>
      </c>
      <c r="H135" s="29" t="e">
        <f>(0.5*10000000)*'Formula Calculations (LOCKED)'!H135/'Formula Calculations (LOCKED)'!$H$2+(0.5*10000000)*'Formula Calculations (LOCKED)'!D135/'Formula Calculations (LOCKED)'!$D$2</f>
        <v>#DIV/0!</v>
      </c>
      <c r="I135" s="7" t="e">
        <f>'Sheet 2. County Level Data'!$T$12+(0.3333333333*10000000*('Formula Calculations (LOCKED)'!H135/'Formula Calculations (LOCKED)'!$H$2))+(0.3333333333*10000000*('Formula Calculations (LOCKED)'!D135/'Formula Calculations (LOCKED)'!$D$2))</f>
        <v>#DIV/0!</v>
      </c>
      <c r="J135" s="29" t="e">
        <f>'Sheet 2. County Level Data'!$T$13+(0.25*10000000*('Formula Calculations (LOCKED)'!H135/'Formula Calculations (LOCKED)'!$H$2))+(0.25*10000000*('Formula Calculations (LOCKED)'!D135/'Formula Calculations (LOCKED)'!$D$2))+(0.25*10000000*('Formula Calculations (LOCKED)'!L135/'Formula Calculations (LOCKED)'!$L$2))</f>
        <v>#DIV/0!</v>
      </c>
      <c r="K135" s="29" t="e">
        <f>'Sheet 2. County Level Data'!$T$13+(0.25*10000000*('Formula Calculations (LOCKED)'!H135/'Formula Calculations (LOCKED)'!$H$2))+(0.25*10000000*('Formula Calculations (LOCKED)'!D135/'Formula Calculations (LOCKED)'!$D$2))+(0.25*10000000*('Formula Calculations (LOCKED)'!O135/'Formula Calculations (LOCKED)'!$O$2))</f>
        <v>#DIV/0!</v>
      </c>
      <c r="L135" s="29" t="e">
        <f>IF('Formula Calculations (LOCKED)'!$G135=1,('Sheet 2. County Level Data'!$P$12*('Formula Calculations (LOCKED)'!K135/'Formula Calculations (LOCKED)'!$K$2)),((10000000-'Sheet 2. County Level Data'!$P$12)*'Formula Calculations (LOCKED)'!J135/'Formula Calculations (LOCKED)'!$J$2))</f>
        <v>#DIV/0!</v>
      </c>
      <c r="M135" s="29" t="e">
        <f>IF('Formula Calculations (LOCKED)'!$G135=1,((0.5*'Sheet 2. County Level Data'!$P$12)*('Formula Calculations (LOCKED)'!K135/'Formula Calculations (LOCKED)'!$K$2))+((0.5*'Sheet 2. County Level Data'!$P$12)*('Formula Calculations (LOCKED)'!N135/'Formula Calculations (LOCKED)'!$N$2)),((0.5*(10000000-'Sheet 2. County Level Data'!$P$12))*('Formula Calculations (LOCKED)'!J135/'Formula Calculations (LOCKED)'!$J$2))+((0.5*(10000000-'Sheet 2. County Level Data'!$P$12))*('Formula Calculations (LOCKED)'!M135/'Formula Calculations (LOCKED)'!$M$2)))</f>
        <v>#DIV/0!</v>
      </c>
      <c r="N135" s="29" t="e">
        <f>IF('Formula Calculations (LOCKED)'!$G135=1,((0.5*'Sheet 2. County Level Data'!$P$12)*('Formula Calculations (LOCKED)'!K135/'Formula Calculations (LOCKED)'!$K$2))+((0.5*'Sheet 2. County Level Data'!$P$12)*('Formula Calculations (LOCKED)'!R135/'Formula Calculations (LOCKED)'!$R$2)),((0.5*(10000000-'Sheet 2. County Level Data'!$P$12))*('Formula Calculations (LOCKED)'!J135/'Formula Calculations (LOCKED)'!$J$2))+((0.5*(10000000-'Sheet 2. County Level Data'!$P$12))*('Formula Calculations (LOCKED)'!Q135/'Formula Calculations (LOCKED)'!$Q$2)))</f>
        <v>#DIV/0!</v>
      </c>
    </row>
    <row r="136" spans="1:14" x14ac:dyDescent="0.2">
      <c r="A136" s="7">
        <f>'Sheet 2. County Level Data'!A134</f>
        <v>0</v>
      </c>
      <c r="B136" s="29" t="e">
        <f>('Formula Calculations (LOCKED)'!C136*'Sheet 2. County Level Data'!$P$4)</f>
        <v>#DIV/0!</v>
      </c>
      <c r="C136" s="29" t="e">
        <f>'Formula Calculations (LOCKED)'!H136/'Formula Calculations (LOCKED)'!$H$2*'Sheet 2. County Level Data'!$P$4</f>
        <v>#DIV/0!</v>
      </c>
      <c r="D136" s="29" t="e">
        <f>('Formula Calculations (LOCKED)'!L136/'Formula Calculations (LOCKED)'!$L$2)*'Sheet 2. County Level Data'!$P$4</f>
        <v>#DIV/0!</v>
      </c>
      <c r="E136" s="29" t="e">
        <f>('Formula Calculations (LOCKED)'!O136/'Formula Calculations (LOCKED)'!$O$2)*'Sheet 2. County Level Data'!$P$4</f>
        <v>#DIV/0!</v>
      </c>
      <c r="F136" s="29" t="e">
        <f>('Formula Calculations (LOCKED)'!D136/'Formula Calculations (LOCKED)'!$D$2)*'Sheet 2. County Level Data'!$P$4</f>
        <v>#DIV/0!</v>
      </c>
      <c r="G136" s="29" t="e">
        <f>'Sheet 2. County Level Data'!$T$11+(0.5*10000000)*'Formula Calculations (LOCKED)'!H136/'Formula Calculations (LOCKED)'!$H$2</f>
        <v>#DIV/0!</v>
      </c>
      <c r="H136" s="29" t="e">
        <f>(0.5*10000000)*'Formula Calculations (LOCKED)'!H136/'Formula Calculations (LOCKED)'!$H$2+(0.5*10000000)*'Formula Calculations (LOCKED)'!D136/'Formula Calculations (LOCKED)'!$D$2</f>
        <v>#DIV/0!</v>
      </c>
      <c r="I136" s="7" t="e">
        <f>'Sheet 2. County Level Data'!$T$12+(0.3333333333*10000000*('Formula Calculations (LOCKED)'!H136/'Formula Calculations (LOCKED)'!$H$2))+(0.3333333333*10000000*('Formula Calculations (LOCKED)'!D136/'Formula Calculations (LOCKED)'!$D$2))</f>
        <v>#DIV/0!</v>
      </c>
      <c r="J136" s="29" t="e">
        <f>'Sheet 2. County Level Data'!$T$13+(0.25*10000000*('Formula Calculations (LOCKED)'!H136/'Formula Calculations (LOCKED)'!$H$2))+(0.25*10000000*('Formula Calculations (LOCKED)'!D136/'Formula Calculations (LOCKED)'!$D$2))+(0.25*10000000*('Formula Calculations (LOCKED)'!L136/'Formula Calculations (LOCKED)'!$L$2))</f>
        <v>#DIV/0!</v>
      </c>
      <c r="K136" s="29" t="e">
        <f>'Sheet 2. County Level Data'!$T$13+(0.25*10000000*('Formula Calculations (LOCKED)'!H136/'Formula Calculations (LOCKED)'!$H$2))+(0.25*10000000*('Formula Calculations (LOCKED)'!D136/'Formula Calculations (LOCKED)'!$D$2))+(0.25*10000000*('Formula Calculations (LOCKED)'!O136/'Formula Calculations (LOCKED)'!$O$2))</f>
        <v>#DIV/0!</v>
      </c>
      <c r="L136" s="29" t="e">
        <f>IF('Formula Calculations (LOCKED)'!$G136=1,('Sheet 2. County Level Data'!$P$12*('Formula Calculations (LOCKED)'!K136/'Formula Calculations (LOCKED)'!$K$2)),((10000000-'Sheet 2. County Level Data'!$P$12)*'Formula Calculations (LOCKED)'!J136/'Formula Calculations (LOCKED)'!$J$2))</f>
        <v>#DIV/0!</v>
      </c>
      <c r="M136" s="29" t="e">
        <f>IF('Formula Calculations (LOCKED)'!$G136=1,((0.5*'Sheet 2. County Level Data'!$P$12)*('Formula Calculations (LOCKED)'!K136/'Formula Calculations (LOCKED)'!$K$2))+((0.5*'Sheet 2. County Level Data'!$P$12)*('Formula Calculations (LOCKED)'!N136/'Formula Calculations (LOCKED)'!$N$2)),((0.5*(10000000-'Sheet 2. County Level Data'!$P$12))*('Formula Calculations (LOCKED)'!J136/'Formula Calculations (LOCKED)'!$J$2))+((0.5*(10000000-'Sheet 2. County Level Data'!$P$12))*('Formula Calculations (LOCKED)'!M136/'Formula Calculations (LOCKED)'!$M$2)))</f>
        <v>#DIV/0!</v>
      </c>
      <c r="N136" s="29" t="e">
        <f>IF('Formula Calculations (LOCKED)'!$G136=1,((0.5*'Sheet 2. County Level Data'!$P$12)*('Formula Calculations (LOCKED)'!K136/'Formula Calculations (LOCKED)'!$K$2))+((0.5*'Sheet 2. County Level Data'!$P$12)*('Formula Calculations (LOCKED)'!R136/'Formula Calculations (LOCKED)'!$R$2)),((0.5*(10000000-'Sheet 2. County Level Data'!$P$12))*('Formula Calculations (LOCKED)'!J136/'Formula Calculations (LOCKED)'!$J$2))+((0.5*(10000000-'Sheet 2. County Level Data'!$P$12))*('Formula Calculations (LOCKED)'!Q136/'Formula Calculations (LOCKED)'!$Q$2)))</f>
        <v>#DIV/0!</v>
      </c>
    </row>
    <row r="137" spans="1:14" x14ac:dyDescent="0.2">
      <c r="A137" s="7">
        <f>'Sheet 2. County Level Data'!A135</f>
        <v>0</v>
      </c>
      <c r="B137" s="29" t="e">
        <f>('Formula Calculations (LOCKED)'!C137*'Sheet 2. County Level Data'!$P$4)</f>
        <v>#DIV/0!</v>
      </c>
      <c r="C137" s="29" t="e">
        <f>'Formula Calculations (LOCKED)'!H137/'Formula Calculations (LOCKED)'!$H$2*'Sheet 2. County Level Data'!$P$4</f>
        <v>#DIV/0!</v>
      </c>
      <c r="D137" s="29" t="e">
        <f>('Formula Calculations (LOCKED)'!L137/'Formula Calculations (LOCKED)'!$L$2)*'Sheet 2. County Level Data'!$P$4</f>
        <v>#DIV/0!</v>
      </c>
      <c r="E137" s="29" t="e">
        <f>('Formula Calculations (LOCKED)'!O137/'Formula Calculations (LOCKED)'!$O$2)*'Sheet 2. County Level Data'!$P$4</f>
        <v>#DIV/0!</v>
      </c>
      <c r="F137" s="29" t="e">
        <f>('Formula Calculations (LOCKED)'!D137/'Formula Calculations (LOCKED)'!$D$2)*'Sheet 2. County Level Data'!$P$4</f>
        <v>#DIV/0!</v>
      </c>
      <c r="G137" s="29" t="e">
        <f>'Sheet 2. County Level Data'!$T$11+(0.5*10000000)*'Formula Calculations (LOCKED)'!H137/'Formula Calculations (LOCKED)'!$H$2</f>
        <v>#DIV/0!</v>
      </c>
      <c r="H137" s="29" t="e">
        <f>(0.5*10000000)*'Formula Calculations (LOCKED)'!H137/'Formula Calculations (LOCKED)'!$H$2+(0.5*10000000)*'Formula Calculations (LOCKED)'!D137/'Formula Calculations (LOCKED)'!$D$2</f>
        <v>#DIV/0!</v>
      </c>
      <c r="I137" s="7" t="e">
        <f>'Sheet 2. County Level Data'!$T$12+(0.3333333333*10000000*('Formula Calculations (LOCKED)'!H137/'Formula Calculations (LOCKED)'!$H$2))+(0.3333333333*10000000*('Formula Calculations (LOCKED)'!D137/'Formula Calculations (LOCKED)'!$D$2))</f>
        <v>#DIV/0!</v>
      </c>
      <c r="J137" s="29" t="e">
        <f>'Sheet 2. County Level Data'!$T$13+(0.25*10000000*('Formula Calculations (LOCKED)'!H137/'Formula Calculations (LOCKED)'!$H$2))+(0.25*10000000*('Formula Calculations (LOCKED)'!D137/'Formula Calculations (LOCKED)'!$D$2))+(0.25*10000000*('Formula Calculations (LOCKED)'!L137/'Formula Calculations (LOCKED)'!$L$2))</f>
        <v>#DIV/0!</v>
      </c>
      <c r="K137" s="29" t="e">
        <f>'Sheet 2. County Level Data'!$T$13+(0.25*10000000*('Formula Calculations (LOCKED)'!H137/'Formula Calculations (LOCKED)'!$H$2))+(0.25*10000000*('Formula Calculations (LOCKED)'!D137/'Formula Calculations (LOCKED)'!$D$2))+(0.25*10000000*('Formula Calculations (LOCKED)'!O137/'Formula Calculations (LOCKED)'!$O$2))</f>
        <v>#DIV/0!</v>
      </c>
      <c r="L137" s="29" t="e">
        <f>IF('Formula Calculations (LOCKED)'!$G137=1,('Sheet 2. County Level Data'!$P$12*('Formula Calculations (LOCKED)'!K137/'Formula Calculations (LOCKED)'!$K$2)),((10000000-'Sheet 2. County Level Data'!$P$12)*'Formula Calculations (LOCKED)'!J137/'Formula Calculations (LOCKED)'!$J$2))</f>
        <v>#DIV/0!</v>
      </c>
      <c r="M137" s="29" t="e">
        <f>IF('Formula Calculations (LOCKED)'!$G137=1,((0.5*'Sheet 2. County Level Data'!$P$12)*('Formula Calculations (LOCKED)'!K137/'Formula Calculations (LOCKED)'!$K$2))+((0.5*'Sheet 2. County Level Data'!$P$12)*('Formula Calculations (LOCKED)'!N137/'Formula Calculations (LOCKED)'!$N$2)),((0.5*(10000000-'Sheet 2. County Level Data'!$P$12))*('Formula Calculations (LOCKED)'!J137/'Formula Calculations (LOCKED)'!$J$2))+((0.5*(10000000-'Sheet 2. County Level Data'!$P$12))*('Formula Calculations (LOCKED)'!M137/'Formula Calculations (LOCKED)'!$M$2)))</f>
        <v>#DIV/0!</v>
      </c>
      <c r="N137" s="29" t="e">
        <f>IF('Formula Calculations (LOCKED)'!$G137=1,((0.5*'Sheet 2. County Level Data'!$P$12)*('Formula Calculations (LOCKED)'!K137/'Formula Calculations (LOCKED)'!$K$2))+((0.5*'Sheet 2. County Level Data'!$P$12)*('Formula Calculations (LOCKED)'!R137/'Formula Calculations (LOCKED)'!$R$2)),((0.5*(10000000-'Sheet 2. County Level Data'!$P$12))*('Formula Calculations (LOCKED)'!J137/'Formula Calculations (LOCKED)'!$J$2))+((0.5*(10000000-'Sheet 2. County Level Data'!$P$12))*('Formula Calculations (LOCKED)'!Q137/'Formula Calculations (LOCKED)'!$Q$2)))</f>
        <v>#DIV/0!</v>
      </c>
    </row>
    <row r="138" spans="1:14" x14ac:dyDescent="0.2">
      <c r="A138" s="7">
        <f>'Sheet 2. County Level Data'!A136</f>
        <v>0</v>
      </c>
      <c r="B138" s="29" t="e">
        <f>('Formula Calculations (LOCKED)'!C138*'Sheet 2. County Level Data'!$P$4)</f>
        <v>#DIV/0!</v>
      </c>
      <c r="C138" s="29" t="e">
        <f>'Formula Calculations (LOCKED)'!H138/'Formula Calculations (LOCKED)'!$H$2*'Sheet 2. County Level Data'!$P$4</f>
        <v>#DIV/0!</v>
      </c>
      <c r="D138" s="29" t="e">
        <f>('Formula Calculations (LOCKED)'!L138/'Formula Calculations (LOCKED)'!$L$2)*'Sheet 2. County Level Data'!$P$4</f>
        <v>#DIV/0!</v>
      </c>
      <c r="E138" s="29" t="e">
        <f>('Formula Calculations (LOCKED)'!O138/'Formula Calculations (LOCKED)'!$O$2)*'Sheet 2. County Level Data'!$P$4</f>
        <v>#DIV/0!</v>
      </c>
      <c r="F138" s="29" t="e">
        <f>('Formula Calculations (LOCKED)'!D138/'Formula Calculations (LOCKED)'!$D$2)*'Sheet 2. County Level Data'!$P$4</f>
        <v>#DIV/0!</v>
      </c>
      <c r="G138" s="29" t="e">
        <f>'Sheet 2. County Level Data'!$T$11+(0.5*10000000)*'Formula Calculations (LOCKED)'!H138/'Formula Calculations (LOCKED)'!$H$2</f>
        <v>#DIV/0!</v>
      </c>
      <c r="H138" s="29" t="e">
        <f>(0.5*10000000)*'Formula Calculations (LOCKED)'!H138/'Formula Calculations (LOCKED)'!$H$2+(0.5*10000000)*'Formula Calculations (LOCKED)'!D138/'Formula Calculations (LOCKED)'!$D$2</f>
        <v>#DIV/0!</v>
      </c>
      <c r="I138" s="7" t="e">
        <f>'Sheet 2. County Level Data'!$T$12+(0.3333333333*10000000*('Formula Calculations (LOCKED)'!H138/'Formula Calculations (LOCKED)'!$H$2))+(0.3333333333*10000000*('Formula Calculations (LOCKED)'!D138/'Formula Calculations (LOCKED)'!$D$2))</f>
        <v>#DIV/0!</v>
      </c>
      <c r="J138" s="29" t="e">
        <f>'Sheet 2. County Level Data'!$T$13+(0.25*10000000*('Formula Calculations (LOCKED)'!H138/'Formula Calculations (LOCKED)'!$H$2))+(0.25*10000000*('Formula Calculations (LOCKED)'!D138/'Formula Calculations (LOCKED)'!$D$2))+(0.25*10000000*('Formula Calculations (LOCKED)'!L138/'Formula Calculations (LOCKED)'!$L$2))</f>
        <v>#DIV/0!</v>
      </c>
      <c r="K138" s="29" t="e">
        <f>'Sheet 2. County Level Data'!$T$13+(0.25*10000000*('Formula Calculations (LOCKED)'!H138/'Formula Calculations (LOCKED)'!$H$2))+(0.25*10000000*('Formula Calculations (LOCKED)'!D138/'Formula Calculations (LOCKED)'!$D$2))+(0.25*10000000*('Formula Calculations (LOCKED)'!O138/'Formula Calculations (LOCKED)'!$O$2))</f>
        <v>#DIV/0!</v>
      </c>
      <c r="L138" s="29" t="e">
        <f>IF('Formula Calculations (LOCKED)'!$G138=1,('Sheet 2. County Level Data'!$P$12*('Formula Calculations (LOCKED)'!K138/'Formula Calculations (LOCKED)'!$K$2)),((10000000-'Sheet 2. County Level Data'!$P$12)*'Formula Calculations (LOCKED)'!J138/'Formula Calculations (LOCKED)'!$J$2))</f>
        <v>#DIV/0!</v>
      </c>
      <c r="M138" s="29" t="e">
        <f>IF('Formula Calculations (LOCKED)'!$G138=1,((0.5*'Sheet 2. County Level Data'!$P$12)*('Formula Calculations (LOCKED)'!K138/'Formula Calculations (LOCKED)'!$K$2))+((0.5*'Sheet 2. County Level Data'!$P$12)*('Formula Calculations (LOCKED)'!N138/'Formula Calculations (LOCKED)'!$N$2)),((0.5*(10000000-'Sheet 2. County Level Data'!$P$12))*('Formula Calculations (LOCKED)'!J138/'Formula Calculations (LOCKED)'!$J$2))+((0.5*(10000000-'Sheet 2. County Level Data'!$P$12))*('Formula Calculations (LOCKED)'!M138/'Formula Calculations (LOCKED)'!$M$2)))</f>
        <v>#DIV/0!</v>
      </c>
      <c r="N138" s="29" t="e">
        <f>IF('Formula Calculations (LOCKED)'!$G138=1,((0.5*'Sheet 2. County Level Data'!$P$12)*('Formula Calculations (LOCKED)'!K138/'Formula Calculations (LOCKED)'!$K$2))+((0.5*'Sheet 2. County Level Data'!$P$12)*('Formula Calculations (LOCKED)'!R138/'Formula Calculations (LOCKED)'!$R$2)),((0.5*(10000000-'Sheet 2. County Level Data'!$P$12))*('Formula Calculations (LOCKED)'!J138/'Formula Calculations (LOCKED)'!$J$2))+((0.5*(10000000-'Sheet 2. County Level Data'!$P$12))*('Formula Calculations (LOCKED)'!Q138/'Formula Calculations (LOCKED)'!$Q$2)))</f>
        <v>#DIV/0!</v>
      </c>
    </row>
    <row r="139" spans="1:14" x14ac:dyDescent="0.2">
      <c r="A139" s="7">
        <f>'Sheet 2. County Level Data'!A137</f>
        <v>0</v>
      </c>
      <c r="B139" s="29" t="e">
        <f>('Formula Calculations (LOCKED)'!C139*'Sheet 2. County Level Data'!$P$4)</f>
        <v>#DIV/0!</v>
      </c>
      <c r="C139" s="29" t="e">
        <f>'Formula Calculations (LOCKED)'!H139/'Formula Calculations (LOCKED)'!$H$2*'Sheet 2. County Level Data'!$P$4</f>
        <v>#DIV/0!</v>
      </c>
      <c r="D139" s="29" t="e">
        <f>('Formula Calculations (LOCKED)'!L139/'Formula Calculations (LOCKED)'!$L$2)*'Sheet 2. County Level Data'!$P$4</f>
        <v>#DIV/0!</v>
      </c>
      <c r="E139" s="29" t="e">
        <f>('Formula Calculations (LOCKED)'!O139/'Formula Calculations (LOCKED)'!$O$2)*'Sheet 2. County Level Data'!$P$4</f>
        <v>#DIV/0!</v>
      </c>
      <c r="F139" s="29" t="e">
        <f>('Formula Calculations (LOCKED)'!D139/'Formula Calculations (LOCKED)'!$D$2)*'Sheet 2. County Level Data'!$P$4</f>
        <v>#DIV/0!</v>
      </c>
      <c r="G139" s="29" t="e">
        <f>'Sheet 2. County Level Data'!$T$11+(0.5*10000000)*'Formula Calculations (LOCKED)'!H139/'Formula Calculations (LOCKED)'!$H$2</f>
        <v>#DIV/0!</v>
      </c>
      <c r="H139" s="29" t="e">
        <f>(0.5*10000000)*'Formula Calculations (LOCKED)'!H139/'Formula Calculations (LOCKED)'!$H$2+(0.5*10000000)*'Formula Calculations (LOCKED)'!D139/'Formula Calculations (LOCKED)'!$D$2</f>
        <v>#DIV/0!</v>
      </c>
      <c r="I139" s="7" t="e">
        <f>'Sheet 2. County Level Data'!$T$12+(0.3333333333*10000000*('Formula Calculations (LOCKED)'!H139/'Formula Calculations (LOCKED)'!$H$2))+(0.3333333333*10000000*('Formula Calculations (LOCKED)'!D139/'Formula Calculations (LOCKED)'!$D$2))</f>
        <v>#DIV/0!</v>
      </c>
      <c r="J139" s="29" t="e">
        <f>'Sheet 2. County Level Data'!$T$13+(0.25*10000000*('Formula Calculations (LOCKED)'!H139/'Formula Calculations (LOCKED)'!$H$2))+(0.25*10000000*('Formula Calculations (LOCKED)'!D139/'Formula Calculations (LOCKED)'!$D$2))+(0.25*10000000*('Formula Calculations (LOCKED)'!L139/'Formula Calculations (LOCKED)'!$L$2))</f>
        <v>#DIV/0!</v>
      </c>
      <c r="K139" s="29" t="e">
        <f>'Sheet 2. County Level Data'!$T$13+(0.25*10000000*('Formula Calculations (LOCKED)'!H139/'Formula Calculations (LOCKED)'!$H$2))+(0.25*10000000*('Formula Calculations (LOCKED)'!D139/'Formula Calculations (LOCKED)'!$D$2))+(0.25*10000000*('Formula Calculations (LOCKED)'!O139/'Formula Calculations (LOCKED)'!$O$2))</f>
        <v>#DIV/0!</v>
      </c>
      <c r="L139" s="29" t="e">
        <f>IF('Formula Calculations (LOCKED)'!$G139=1,('Sheet 2. County Level Data'!$P$12*('Formula Calculations (LOCKED)'!K139/'Formula Calculations (LOCKED)'!$K$2)),((10000000-'Sheet 2. County Level Data'!$P$12)*'Formula Calculations (LOCKED)'!J139/'Formula Calculations (LOCKED)'!$J$2))</f>
        <v>#DIV/0!</v>
      </c>
      <c r="M139" s="29" t="e">
        <f>IF('Formula Calculations (LOCKED)'!$G139=1,((0.5*'Sheet 2. County Level Data'!$P$12)*('Formula Calculations (LOCKED)'!K139/'Formula Calculations (LOCKED)'!$K$2))+((0.5*'Sheet 2. County Level Data'!$P$12)*('Formula Calculations (LOCKED)'!N139/'Formula Calculations (LOCKED)'!$N$2)),((0.5*(10000000-'Sheet 2. County Level Data'!$P$12))*('Formula Calculations (LOCKED)'!J139/'Formula Calculations (LOCKED)'!$J$2))+((0.5*(10000000-'Sheet 2. County Level Data'!$P$12))*('Formula Calculations (LOCKED)'!M139/'Formula Calculations (LOCKED)'!$M$2)))</f>
        <v>#DIV/0!</v>
      </c>
      <c r="N139" s="29" t="e">
        <f>IF('Formula Calculations (LOCKED)'!$G139=1,((0.5*'Sheet 2. County Level Data'!$P$12)*('Formula Calculations (LOCKED)'!K139/'Formula Calculations (LOCKED)'!$K$2))+((0.5*'Sheet 2. County Level Data'!$P$12)*('Formula Calculations (LOCKED)'!R139/'Formula Calculations (LOCKED)'!$R$2)),((0.5*(10000000-'Sheet 2. County Level Data'!$P$12))*('Formula Calculations (LOCKED)'!J139/'Formula Calculations (LOCKED)'!$J$2))+((0.5*(10000000-'Sheet 2. County Level Data'!$P$12))*('Formula Calculations (LOCKED)'!Q139/'Formula Calculations (LOCKED)'!$Q$2)))</f>
        <v>#DIV/0!</v>
      </c>
    </row>
    <row r="140" spans="1:14" x14ac:dyDescent="0.2">
      <c r="A140" s="7">
        <f>'Sheet 2. County Level Data'!A138</f>
        <v>0</v>
      </c>
      <c r="B140" s="29" t="e">
        <f>('Formula Calculations (LOCKED)'!C140*'Sheet 2. County Level Data'!$P$4)</f>
        <v>#DIV/0!</v>
      </c>
      <c r="C140" s="29" t="e">
        <f>'Formula Calculations (LOCKED)'!H140/'Formula Calculations (LOCKED)'!$H$2*'Sheet 2. County Level Data'!$P$4</f>
        <v>#DIV/0!</v>
      </c>
      <c r="D140" s="29" t="e">
        <f>('Formula Calculations (LOCKED)'!L140/'Formula Calculations (LOCKED)'!$L$2)*'Sheet 2. County Level Data'!$P$4</f>
        <v>#DIV/0!</v>
      </c>
      <c r="E140" s="29" t="e">
        <f>('Formula Calculations (LOCKED)'!O140/'Formula Calculations (LOCKED)'!$O$2)*'Sheet 2. County Level Data'!$P$4</f>
        <v>#DIV/0!</v>
      </c>
      <c r="F140" s="29" t="e">
        <f>('Formula Calculations (LOCKED)'!D140/'Formula Calculations (LOCKED)'!$D$2)*'Sheet 2. County Level Data'!$P$4</f>
        <v>#DIV/0!</v>
      </c>
      <c r="G140" s="29" t="e">
        <f>'Sheet 2. County Level Data'!$T$11+(0.5*10000000)*'Formula Calculations (LOCKED)'!H140/'Formula Calculations (LOCKED)'!$H$2</f>
        <v>#DIV/0!</v>
      </c>
      <c r="H140" s="29" t="e">
        <f>(0.5*10000000)*'Formula Calculations (LOCKED)'!H140/'Formula Calculations (LOCKED)'!$H$2+(0.5*10000000)*'Formula Calculations (LOCKED)'!D140/'Formula Calculations (LOCKED)'!$D$2</f>
        <v>#DIV/0!</v>
      </c>
      <c r="I140" s="7" t="e">
        <f>'Sheet 2. County Level Data'!$T$12+(0.3333333333*10000000*('Formula Calculations (LOCKED)'!H140/'Formula Calculations (LOCKED)'!$H$2))+(0.3333333333*10000000*('Formula Calculations (LOCKED)'!D140/'Formula Calculations (LOCKED)'!$D$2))</f>
        <v>#DIV/0!</v>
      </c>
      <c r="J140" s="29" t="e">
        <f>'Sheet 2. County Level Data'!$T$13+(0.25*10000000*('Formula Calculations (LOCKED)'!H140/'Formula Calculations (LOCKED)'!$H$2))+(0.25*10000000*('Formula Calculations (LOCKED)'!D140/'Formula Calculations (LOCKED)'!$D$2))+(0.25*10000000*('Formula Calculations (LOCKED)'!L140/'Formula Calculations (LOCKED)'!$L$2))</f>
        <v>#DIV/0!</v>
      </c>
      <c r="K140" s="29" t="e">
        <f>'Sheet 2. County Level Data'!$T$13+(0.25*10000000*('Formula Calculations (LOCKED)'!H140/'Formula Calculations (LOCKED)'!$H$2))+(0.25*10000000*('Formula Calculations (LOCKED)'!D140/'Formula Calculations (LOCKED)'!$D$2))+(0.25*10000000*('Formula Calculations (LOCKED)'!O140/'Formula Calculations (LOCKED)'!$O$2))</f>
        <v>#DIV/0!</v>
      </c>
      <c r="L140" s="29" t="e">
        <f>IF('Formula Calculations (LOCKED)'!$G140=1,('Sheet 2. County Level Data'!$P$12*('Formula Calculations (LOCKED)'!K140/'Formula Calculations (LOCKED)'!$K$2)),((10000000-'Sheet 2. County Level Data'!$P$12)*'Formula Calculations (LOCKED)'!J140/'Formula Calculations (LOCKED)'!$J$2))</f>
        <v>#DIV/0!</v>
      </c>
      <c r="M140" s="29" t="e">
        <f>IF('Formula Calculations (LOCKED)'!$G140=1,((0.5*'Sheet 2. County Level Data'!$P$12)*('Formula Calculations (LOCKED)'!K140/'Formula Calculations (LOCKED)'!$K$2))+((0.5*'Sheet 2. County Level Data'!$P$12)*('Formula Calculations (LOCKED)'!N140/'Formula Calculations (LOCKED)'!$N$2)),((0.5*(10000000-'Sheet 2. County Level Data'!$P$12))*('Formula Calculations (LOCKED)'!J140/'Formula Calculations (LOCKED)'!$J$2))+((0.5*(10000000-'Sheet 2. County Level Data'!$P$12))*('Formula Calculations (LOCKED)'!M140/'Formula Calculations (LOCKED)'!$M$2)))</f>
        <v>#DIV/0!</v>
      </c>
      <c r="N140" s="29" t="e">
        <f>IF('Formula Calculations (LOCKED)'!$G140=1,((0.5*'Sheet 2. County Level Data'!$P$12)*('Formula Calculations (LOCKED)'!K140/'Formula Calculations (LOCKED)'!$K$2))+((0.5*'Sheet 2. County Level Data'!$P$12)*('Formula Calculations (LOCKED)'!R140/'Formula Calculations (LOCKED)'!$R$2)),((0.5*(10000000-'Sheet 2. County Level Data'!$P$12))*('Formula Calculations (LOCKED)'!J140/'Formula Calculations (LOCKED)'!$J$2))+((0.5*(10000000-'Sheet 2. County Level Data'!$P$12))*('Formula Calculations (LOCKED)'!Q140/'Formula Calculations (LOCKED)'!$Q$2)))</f>
        <v>#DIV/0!</v>
      </c>
    </row>
    <row r="141" spans="1:14" x14ac:dyDescent="0.2">
      <c r="A141" s="7">
        <f>'Sheet 2. County Level Data'!A139</f>
        <v>0</v>
      </c>
      <c r="B141" s="29" t="e">
        <f>('Formula Calculations (LOCKED)'!C141*'Sheet 2. County Level Data'!$P$4)</f>
        <v>#DIV/0!</v>
      </c>
      <c r="C141" s="29" t="e">
        <f>'Formula Calculations (LOCKED)'!H141/'Formula Calculations (LOCKED)'!$H$2*'Sheet 2. County Level Data'!$P$4</f>
        <v>#DIV/0!</v>
      </c>
      <c r="D141" s="29" t="e">
        <f>('Formula Calculations (LOCKED)'!L141/'Formula Calculations (LOCKED)'!$L$2)*'Sheet 2. County Level Data'!$P$4</f>
        <v>#DIV/0!</v>
      </c>
      <c r="E141" s="29" t="e">
        <f>('Formula Calculations (LOCKED)'!O141/'Formula Calculations (LOCKED)'!$O$2)*'Sheet 2. County Level Data'!$P$4</f>
        <v>#DIV/0!</v>
      </c>
      <c r="F141" s="29" t="e">
        <f>('Formula Calculations (LOCKED)'!D141/'Formula Calculations (LOCKED)'!$D$2)*'Sheet 2. County Level Data'!$P$4</f>
        <v>#DIV/0!</v>
      </c>
      <c r="G141" s="29" t="e">
        <f>'Sheet 2. County Level Data'!$T$11+(0.5*10000000)*'Formula Calculations (LOCKED)'!H141/'Formula Calculations (LOCKED)'!$H$2</f>
        <v>#DIV/0!</v>
      </c>
      <c r="H141" s="29" t="e">
        <f>(0.5*10000000)*'Formula Calculations (LOCKED)'!H141/'Formula Calculations (LOCKED)'!$H$2+(0.5*10000000)*'Formula Calculations (LOCKED)'!D141/'Formula Calculations (LOCKED)'!$D$2</f>
        <v>#DIV/0!</v>
      </c>
      <c r="I141" s="7" t="e">
        <f>'Sheet 2. County Level Data'!$T$12+(0.3333333333*10000000*('Formula Calculations (LOCKED)'!H141/'Formula Calculations (LOCKED)'!$H$2))+(0.3333333333*10000000*('Formula Calculations (LOCKED)'!D141/'Formula Calculations (LOCKED)'!$D$2))</f>
        <v>#DIV/0!</v>
      </c>
      <c r="J141" s="29" t="e">
        <f>'Sheet 2. County Level Data'!$T$13+(0.25*10000000*('Formula Calculations (LOCKED)'!H141/'Formula Calculations (LOCKED)'!$H$2))+(0.25*10000000*('Formula Calculations (LOCKED)'!D141/'Formula Calculations (LOCKED)'!$D$2))+(0.25*10000000*('Formula Calculations (LOCKED)'!L141/'Formula Calculations (LOCKED)'!$L$2))</f>
        <v>#DIV/0!</v>
      </c>
      <c r="K141" s="29" t="e">
        <f>'Sheet 2. County Level Data'!$T$13+(0.25*10000000*('Formula Calculations (LOCKED)'!H141/'Formula Calculations (LOCKED)'!$H$2))+(0.25*10000000*('Formula Calculations (LOCKED)'!D141/'Formula Calculations (LOCKED)'!$D$2))+(0.25*10000000*('Formula Calculations (LOCKED)'!O141/'Formula Calculations (LOCKED)'!$O$2))</f>
        <v>#DIV/0!</v>
      </c>
      <c r="L141" s="29" t="e">
        <f>IF('Formula Calculations (LOCKED)'!$G141=1,('Sheet 2. County Level Data'!$P$12*('Formula Calculations (LOCKED)'!K141/'Formula Calculations (LOCKED)'!$K$2)),((10000000-'Sheet 2. County Level Data'!$P$12)*'Formula Calculations (LOCKED)'!J141/'Formula Calculations (LOCKED)'!$J$2))</f>
        <v>#DIV/0!</v>
      </c>
      <c r="M141" s="29" t="e">
        <f>IF('Formula Calculations (LOCKED)'!$G141=1,((0.5*'Sheet 2. County Level Data'!$P$12)*('Formula Calculations (LOCKED)'!K141/'Formula Calculations (LOCKED)'!$K$2))+((0.5*'Sheet 2. County Level Data'!$P$12)*('Formula Calculations (LOCKED)'!N141/'Formula Calculations (LOCKED)'!$N$2)),((0.5*(10000000-'Sheet 2. County Level Data'!$P$12))*('Formula Calculations (LOCKED)'!J141/'Formula Calculations (LOCKED)'!$J$2))+((0.5*(10000000-'Sheet 2. County Level Data'!$P$12))*('Formula Calculations (LOCKED)'!M141/'Formula Calculations (LOCKED)'!$M$2)))</f>
        <v>#DIV/0!</v>
      </c>
      <c r="N141" s="29" t="e">
        <f>IF('Formula Calculations (LOCKED)'!$G141=1,((0.5*'Sheet 2. County Level Data'!$P$12)*('Formula Calculations (LOCKED)'!K141/'Formula Calculations (LOCKED)'!$K$2))+((0.5*'Sheet 2. County Level Data'!$P$12)*('Formula Calculations (LOCKED)'!R141/'Formula Calculations (LOCKED)'!$R$2)),((0.5*(10000000-'Sheet 2. County Level Data'!$P$12))*('Formula Calculations (LOCKED)'!J141/'Formula Calculations (LOCKED)'!$J$2))+((0.5*(10000000-'Sheet 2. County Level Data'!$P$12))*('Formula Calculations (LOCKED)'!Q141/'Formula Calculations (LOCKED)'!$Q$2)))</f>
        <v>#DIV/0!</v>
      </c>
    </row>
    <row r="142" spans="1:14" x14ac:dyDescent="0.2">
      <c r="A142" s="7">
        <f>'Sheet 2. County Level Data'!A140</f>
        <v>0</v>
      </c>
      <c r="B142" s="29" t="e">
        <f>('Formula Calculations (LOCKED)'!C142*'Sheet 2. County Level Data'!$P$4)</f>
        <v>#DIV/0!</v>
      </c>
      <c r="C142" s="29" t="e">
        <f>'Formula Calculations (LOCKED)'!H142/'Formula Calculations (LOCKED)'!$H$2*'Sheet 2. County Level Data'!$P$4</f>
        <v>#DIV/0!</v>
      </c>
      <c r="D142" s="29" t="e">
        <f>('Formula Calculations (LOCKED)'!L142/'Formula Calculations (LOCKED)'!$L$2)*'Sheet 2. County Level Data'!$P$4</f>
        <v>#DIV/0!</v>
      </c>
      <c r="E142" s="29" t="e">
        <f>('Formula Calculations (LOCKED)'!O142/'Formula Calculations (LOCKED)'!$O$2)*'Sheet 2. County Level Data'!$P$4</f>
        <v>#DIV/0!</v>
      </c>
      <c r="F142" s="29" t="e">
        <f>('Formula Calculations (LOCKED)'!D142/'Formula Calculations (LOCKED)'!$D$2)*'Sheet 2. County Level Data'!$P$4</f>
        <v>#DIV/0!</v>
      </c>
      <c r="G142" s="29" t="e">
        <f>'Sheet 2. County Level Data'!$T$11+(0.5*10000000)*'Formula Calculations (LOCKED)'!H142/'Formula Calculations (LOCKED)'!$H$2</f>
        <v>#DIV/0!</v>
      </c>
      <c r="H142" s="29" t="e">
        <f>(0.5*10000000)*'Formula Calculations (LOCKED)'!H142/'Formula Calculations (LOCKED)'!$H$2+(0.5*10000000)*'Formula Calculations (LOCKED)'!D142/'Formula Calculations (LOCKED)'!$D$2</f>
        <v>#DIV/0!</v>
      </c>
      <c r="I142" s="7" t="e">
        <f>'Sheet 2. County Level Data'!$T$12+(0.3333333333*10000000*('Formula Calculations (LOCKED)'!H142/'Formula Calculations (LOCKED)'!$H$2))+(0.3333333333*10000000*('Formula Calculations (LOCKED)'!D142/'Formula Calculations (LOCKED)'!$D$2))</f>
        <v>#DIV/0!</v>
      </c>
      <c r="J142" s="29" t="e">
        <f>'Sheet 2. County Level Data'!$T$13+(0.25*10000000*('Formula Calculations (LOCKED)'!H142/'Formula Calculations (LOCKED)'!$H$2))+(0.25*10000000*('Formula Calculations (LOCKED)'!D142/'Formula Calculations (LOCKED)'!$D$2))+(0.25*10000000*('Formula Calculations (LOCKED)'!L142/'Formula Calculations (LOCKED)'!$L$2))</f>
        <v>#DIV/0!</v>
      </c>
      <c r="K142" s="29" t="e">
        <f>'Sheet 2. County Level Data'!$T$13+(0.25*10000000*('Formula Calculations (LOCKED)'!H142/'Formula Calculations (LOCKED)'!$H$2))+(0.25*10000000*('Formula Calculations (LOCKED)'!D142/'Formula Calculations (LOCKED)'!$D$2))+(0.25*10000000*('Formula Calculations (LOCKED)'!O142/'Formula Calculations (LOCKED)'!$O$2))</f>
        <v>#DIV/0!</v>
      </c>
      <c r="L142" s="29" t="e">
        <f>IF('Formula Calculations (LOCKED)'!$G142=1,('Sheet 2. County Level Data'!$P$12*('Formula Calculations (LOCKED)'!K142/'Formula Calculations (LOCKED)'!$K$2)),((10000000-'Sheet 2. County Level Data'!$P$12)*'Formula Calculations (LOCKED)'!J142/'Formula Calculations (LOCKED)'!$J$2))</f>
        <v>#DIV/0!</v>
      </c>
      <c r="M142" s="29" t="e">
        <f>IF('Formula Calculations (LOCKED)'!$G142=1,((0.5*'Sheet 2. County Level Data'!$P$12)*('Formula Calculations (LOCKED)'!K142/'Formula Calculations (LOCKED)'!$K$2))+((0.5*'Sheet 2. County Level Data'!$P$12)*('Formula Calculations (LOCKED)'!N142/'Formula Calculations (LOCKED)'!$N$2)),((0.5*(10000000-'Sheet 2. County Level Data'!$P$12))*('Formula Calculations (LOCKED)'!J142/'Formula Calculations (LOCKED)'!$J$2))+((0.5*(10000000-'Sheet 2. County Level Data'!$P$12))*('Formula Calculations (LOCKED)'!M142/'Formula Calculations (LOCKED)'!$M$2)))</f>
        <v>#DIV/0!</v>
      </c>
      <c r="N142" s="29" t="e">
        <f>IF('Formula Calculations (LOCKED)'!$G142=1,((0.5*'Sheet 2. County Level Data'!$P$12)*('Formula Calculations (LOCKED)'!K142/'Formula Calculations (LOCKED)'!$K$2))+((0.5*'Sheet 2. County Level Data'!$P$12)*('Formula Calculations (LOCKED)'!R142/'Formula Calculations (LOCKED)'!$R$2)),((0.5*(10000000-'Sheet 2. County Level Data'!$P$12))*('Formula Calculations (LOCKED)'!J142/'Formula Calculations (LOCKED)'!$J$2))+((0.5*(10000000-'Sheet 2. County Level Data'!$P$12))*('Formula Calculations (LOCKED)'!Q142/'Formula Calculations (LOCKED)'!$Q$2)))</f>
        <v>#DIV/0!</v>
      </c>
    </row>
    <row r="143" spans="1:14" x14ac:dyDescent="0.2">
      <c r="A143" s="7">
        <f>'Sheet 2. County Level Data'!A141</f>
        <v>0</v>
      </c>
      <c r="B143" s="29" t="e">
        <f>('Formula Calculations (LOCKED)'!C143*'Sheet 2. County Level Data'!$P$4)</f>
        <v>#DIV/0!</v>
      </c>
      <c r="C143" s="29" t="e">
        <f>'Formula Calculations (LOCKED)'!H143/'Formula Calculations (LOCKED)'!$H$2*'Sheet 2. County Level Data'!$P$4</f>
        <v>#DIV/0!</v>
      </c>
      <c r="D143" s="29" t="e">
        <f>('Formula Calculations (LOCKED)'!L143/'Formula Calculations (LOCKED)'!$L$2)*'Sheet 2. County Level Data'!$P$4</f>
        <v>#DIV/0!</v>
      </c>
      <c r="E143" s="29" t="e">
        <f>('Formula Calculations (LOCKED)'!O143/'Formula Calculations (LOCKED)'!$O$2)*'Sheet 2. County Level Data'!$P$4</f>
        <v>#DIV/0!</v>
      </c>
      <c r="F143" s="29" t="e">
        <f>('Formula Calculations (LOCKED)'!D143/'Formula Calculations (LOCKED)'!$D$2)*'Sheet 2. County Level Data'!$P$4</f>
        <v>#DIV/0!</v>
      </c>
      <c r="G143" s="29" t="e">
        <f>'Sheet 2. County Level Data'!$T$11+(0.5*10000000)*'Formula Calculations (LOCKED)'!H143/'Formula Calculations (LOCKED)'!$H$2</f>
        <v>#DIV/0!</v>
      </c>
      <c r="H143" s="29" t="e">
        <f>(0.5*10000000)*'Formula Calculations (LOCKED)'!H143/'Formula Calculations (LOCKED)'!$H$2+(0.5*10000000)*'Formula Calculations (LOCKED)'!D143/'Formula Calculations (LOCKED)'!$D$2</f>
        <v>#DIV/0!</v>
      </c>
      <c r="I143" s="7" t="e">
        <f>'Sheet 2. County Level Data'!$T$12+(0.3333333333*10000000*('Formula Calculations (LOCKED)'!H143/'Formula Calculations (LOCKED)'!$H$2))+(0.3333333333*10000000*('Formula Calculations (LOCKED)'!D143/'Formula Calculations (LOCKED)'!$D$2))</f>
        <v>#DIV/0!</v>
      </c>
      <c r="J143" s="29" t="e">
        <f>'Sheet 2. County Level Data'!$T$13+(0.25*10000000*('Formula Calculations (LOCKED)'!H143/'Formula Calculations (LOCKED)'!$H$2))+(0.25*10000000*('Formula Calculations (LOCKED)'!D143/'Formula Calculations (LOCKED)'!$D$2))+(0.25*10000000*('Formula Calculations (LOCKED)'!L143/'Formula Calculations (LOCKED)'!$L$2))</f>
        <v>#DIV/0!</v>
      </c>
      <c r="K143" s="29" t="e">
        <f>'Sheet 2. County Level Data'!$T$13+(0.25*10000000*('Formula Calculations (LOCKED)'!H143/'Formula Calculations (LOCKED)'!$H$2))+(0.25*10000000*('Formula Calculations (LOCKED)'!D143/'Formula Calculations (LOCKED)'!$D$2))+(0.25*10000000*('Formula Calculations (LOCKED)'!O143/'Formula Calculations (LOCKED)'!$O$2))</f>
        <v>#DIV/0!</v>
      </c>
      <c r="L143" s="29" t="e">
        <f>IF('Formula Calculations (LOCKED)'!$G143=1,('Sheet 2. County Level Data'!$P$12*('Formula Calculations (LOCKED)'!K143/'Formula Calculations (LOCKED)'!$K$2)),((10000000-'Sheet 2. County Level Data'!$P$12)*'Formula Calculations (LOCKED)'!J143/'Formula Calculations (LOCKED)'!$J$2))</f>
        <v>#DIV/0!</v>
      </c>
      <c r="M143" s="29" t="e">
        <f>IF('Formula Calculations (LOCKED)'!$G143=1,((0.5*'Sheet 2. County Level Data'!$P$12)*('Formula Calculations (LOCKED)'!K143/'Formula Calculations (LOCKED)'!$K$2))+((0.5*'Sheet 2. County Level Data'!$P$12)*('Formula Calculations (LOCKED)'!N143/'Formula Calculations (LOCKED)'!$N$2)),((0.5*(10000000-'Sheet 2. County Level Data'!$P$12))*('Formula Calculations (LOCKED)'!J143/'Formula Calculations (LOCKED)'!$J$2))+((0.5*(10000000-'Sheet 2. County Level Data'!$P$12))*('Formula Calculations (LOCKED)'!M143/'Formula Calculations (LOCKED)'!$M$2)))</f>
        <v>#DIV/0!</v>
      </c>
      <c r="N143" s="29" t="e">
        <f>IF('Formula Calculations (LOCKED)'!$G143=1,((0.5*'Sheet 2. County Level Data'!$P$12)*('Formula Calculations (LOCKED)'!K143/'Formula Calculations (LOCKED)'!$K$2))+((0.5*'Sheet 2. County Level Data'!$P$12)*('Formula Calculations (LOCKED)'!R143/'Formula Calculations (LOCKED)'!$R$2)),((0.5*(10000000-'Sheet 2. County Level Data'!$P$12))*('Formula Calculations (LOCKED)'!J143/'Formula Calculations (LOCKED)'!$J$2))+((0.5*(10000000-'Sheet 2. County Level Data'!$P$12))*('Formula Calculations (LOCKED)'!Q143/'Formula Calculations (LOCKED)'!$Q$2)))</f>
        <v>#DIV/0!</v>
      </c>
    </row>
    <row r="144" spans="1:14" x14ac:dyDescent="0.2">
      <c r="A144" s="7">
        <f>'Sheet 2. County Level Data'!A142</f>
        <v>0</v>
      </c>
      <c r="B144" s="29" t="e">
        <f>('Formula Calculations (LOCKED)'!C144*'Sheet 2. County Level Data'!$P$4)</f>
        <v>#DIV/0!</v>
      </c>
      <c r="C144" s="29" t="e">
        <f>'Formula Calculations (LOCKED)'!H144/'Formula Calculations (LOCKED)'!$H$2*'Sheet 2. County Level Data'!$P$4</f>
        <v>#DIV/0!</v>
      </c>
      <c r="D144" s="29" t="e">
        <f>('Formula Calculations (LOCKED)'!L144/'Formula Calculations (LOCKED)'!$L$2)*'Sheet 2. County Level Data'!$P$4</f>
        <v>#DIV/0!</v>
      </c>
      <c r="E144" s="29" t="e">
        <f>('Formula Calculations (LOCKED)'!O144/'Formula Calculations (LOCKED)'!$O$2)*'Sheet 2. County Level Data'!$P$4</f>
        <v>#DIV/0!</v>
      </c>
      <c r="F144" s="29" t="e">
        <f>('Formula Calculations (LOCKED)'!D144/'Formula Calculations (LOCKED)'!$D$2)*'Sheet 2. County Level Data'!$P$4</f>
        <v>#DIV/0!</v>
      </c>
      <c r="G144" s="29" t="e">
        <f>'Sheet 2. County Level Data'!$T$11+(0.5*10000000)*'Formula Calculations (LOCKED)'!H144/'Formula Calculations (LOCKED)'!$H$2</f>
        <v>#DIV/0!</v>
      </c>
      <c r="H144" s="29" t="e">
        <f>(0.5*10000000)*'Formula Calculations (LOCKED)'!H144/'Formula Calculations (LOCKED)'!$H$2+(0.5*10000000)*'Formula Calculations (LOCKED)'!D144/'Formula Calculations (LOCKED)'!$D$2</f>
        <v>#DIV/0!</v>
      </c>
      <c r="I144" s="7" t="e">
        <f>'Sheet 2. County Level Data'!$T$12+(0.3333333333*10000000*('Formula Calculations (LOCKED)'!H144/'Formula Calculations (LOCKED)'!$H$2))+(0.3333333333*10000000*('Formula Calculations (LOCKED)'!D144/'Formula Calculations (LOCKED)'!$D$2))</f>
        <v>#DIV/0!</v>
      </c>
      <c r="J144" s="29" t="e">
        <f>'Sheet 2. County Level Data'!$T$13+(0.25*10000000*('Formula Calculations (LOCKED)'!H144/'Formula Calculations (LOCKED)'!$H$2))+(0.25*10000000*('Formula Calculations (LOCKED)'!D144/'Formula Calculations (LOCKED)'!$D$2))+(0.25*10000000*('Formula Calculations (LOCKED)'!L144/'Formula Calculations (LOCKED)'!$L$2))</f>
        <v>#DIV/0!</v>
      </c>
      <c r="K144" s="29" t="e">
        <f>'Sheet 2. County Level Data'!$T$13+(0.25*10000000*('Formula Calculations (LOCKED)'!H144/'Formula Calculations (LOCKED)'!$H$2))+(0.25*10000000*('Formula Calculations (LOCKED)'!D144/'Formula Calculations (LOCKED)'!$D$2))+(0.25*10000000*('Formula Calculations (LOCKED)'!O144/'Formula Calculations (LOCKED)'!$O$2))</f>
        <v>#DIV/0!</v>
      </c>
      <c r="L144" s="29" t="e">
        <f>IF('Formula Calculations (LOCKED)'!$G144=1,('Sheet 2. County Level Data'!$P$12*('Formula Calculations (LOCKED)'!K144/'Formula Calculations (LOCKED)'!$K$2)),((10000000-'Sheet 2. County Level Data'!$P$12)*'Formula Calculations (LOCKED)'!J144/'Formula Calculations (LOCKED)'!$J$2))</f>
        <v>#DIV/0!</v>
      </c>
      <c r="M144" s="29" t="e">
        <f>IF('Formula Calculations (LOCKED)'!$G144=1,((0.5*'Sheet 2. County Level Data'!$P$12)*('Formula Calculations (LOCKED)'!K144/'Formula Calculations (LOCKED)'!$K$2))+((0.5*'Sheet 2. County Level Data'!$P$12)*('Formula Calculations (LOCKED)'!N144/'Formula Calculations (LOCKED)'!$N$2)),((0.5*(10000000-'Sheet 2. County Level Data'!$P$12))*('Formula Calculations (LOCKED)'!J144/'Formula Calculations (LOCKED)'!$J$2))+((0.5*(10000000-'Sheet 2. County Level Data'!$P$12))*('Formula Calculations (LOCKED)'!M144/'Formula Calculations (LOCKED)'!$M$2)))</f>
        <v>#DIV/0!</v>
      </c>
      <c r="N144" s="29" t="e">
        <f>IF('Formula Calculations (LOCKED)'!$G144=1,((0.5*'Sheet 2. County Level Data'!$P$12)*('Formula Calculations (LOCKED)'!K144/'Formula Calculations (LOCKED)'!$K$2))+((0.5*'Sheet 2. County Level Data'!$P$12)*('Formula Calculations (LOCKED)'!R144/'Formula Calculations (LOCKED)'!$R$2)),((0.5*(10000000-'Sheet 2. County Level Data'!$P$12))*('Formula Calculations (LOCKED)'!J144/'Formula Calculations (LOCKED)'!$J$2))+((0.5*(10000000-'Sheet 2. County Level Data'!$P$12))*('Formula Calculations (LOCKED)'!Q144/'Formula Calculations (LOCKED)'!$Q$2)))</f>
        <v>#DIV/0!</v>
      </c>
    </row>
    <row r="145" spans="1:14" x14ac:dyDescent="0.2">
      <c r="A145" s="7">
        <f>'Sheet 2. County Level Data'!A143</f>
        <v>0</v>
      </c>
      <c r="B145" s="29" t="e">
        <f>('Formula Calculations (LOCKED)'!C145*'Sheet 2. County Level Data'!$P$4)</f>
        <v>#DIV/0!</v>
      </c>
      <c r="C145" s="29" t="e">
        <f>'Formula Calculations (LOCKED)'!H145/'Formula Calculations (LOCKED)'!$H$2*'Sheet 2. County Level Data'!$P$4</f>
        <v>#DIV/0!</v>
      </c>
      <c r="D145" s="29" t="e">
        <f>('Formula Calculations (LOCKED)'!L145/'Formula Calculations (LOCKED)'!$L$2)*'Sheet 2. County Level Data'!$P$4</f>
        <v>#DIV/0!</v>
      </c>
      <c r="E145" s="29" t="e">
        <f>('Formula Calculations (LOCKED)'!O145/'Formula Calculations (LOCKED)'!$O$2)*'Sheet 2. County Level Data'!$P$4</f>
        <v>#DIV/0!</v>
      </c>
      <c r="F145" s="29" t="e">
        <f>('Formula Calculations (LOCKED)'!D145/'Formula Calculations (LOCKED)'!$D$2)*'Sheet 2. County Level Data'!$P$4</f>
        <v>#DIV/0!</v>
      </c>
      <c r="G145" s="29" t="e">
        <f>'Sheet 2. County Level Data'!$T$11+(0.5*10000000)*'Formula Calculations (LOCKED)'!H145/'Formula Calculations (LOCKED)'!$H$2</f>
        <v>#DIV/0!</v>
      </c>
      <c r="H145" s="29" t="e">
        <f>(0.5*10000000)*'Formula Calculations (LOCKED)'!H145/'Formula Calculations (LOCKED)'!$H$2+(0.5*10000000)*'Formula Calculations (LOCKED)'!D145/'Formula Calculations (LOCKED)'!$D$2</f>
        <v>#DIV/0!</v>
      </c>
      <c r="I145" s="7" t="e">
        <f>'Sheet 2. County Level Data'!$T$12+(0.3333333333*10000000*('Formula Calculations (LOCKED)'!H145/'Formula Calculations (LOCKED)'!$H$2))+(0.3333333333*10000000*('Formula Calculations (LOCKED)'!D145/'Formula Calculations (LOCKED)'!$D$2))</f>
        <v>#DIV/0!</v>
      </c>
      <c r="J145" s="29" t="e">
        <f>'Sheet 2. County Level Data'!$T$13+(0.25*10000000*('Formula Calculations (LOCKED)'!H145/'Formula Calculations (LOCKED)'!$H$2))+(0.25*10000000*('Formula Calculations (LOCKED)'!D145/'Formula Calculations (LOCKED)'!$D$2))+(0.25*10000000*('Formula Calculations (LOCKED)'!L145/'Formula Calculations (LOCKED)'!$L$2))</f>
        <v>#DIV/0!</v>
      </c>
      <c r="K145" s="29" t="e">
        <f>'Sheet 2. County Level Data'!$T$13+(0.25*10000000*('Formula Calculations (LOCKED)'!H145/'Formula Calculations (LOCKED)'!$H$2))+(0.25*10000000*('Formula Calculations (LOCKED)'!D145/'Formula Calculations (LOCKED)'!$D$2))+(0.25*10000000*('Formula Calculations (LOCKED)'!O145/'Formula Calculations (LOCKED)'!$O$2))</f>
        <v>#DIV/0!</v>
      </c>
      <c r="L145" s="29" t="e">
        <f>IF('Formula Calculations (LOCKED)'!$G145=1,('Sheet 2. County Level Data'!$P$12*('Formula Calculations (LOCKED)'!K145/'Formula Calculations (LOCKED)'!$K$2)),((10000000-'Sheet 2. County Level Data'!$P$12)*'Formula Calculations (LOCKED)'!J145/'Formula Calculations (LOCKED)'!$J$2))</f>
        <v>#DIV/0!</v>
      </c>
      <c r="M145" s="29" t="e">
        <f>IF('Formula Calculations (LOCKED)'!$G145=1,((0.5*'Sheet 2. County Level Data'!$P$12)*('Formula Calculations (LOCKED)'!K145/'Formula Calculations (LOCKED)'!$K$2))+((0.5*'Sheet 2. County Level Data'!$P$12)*('Formula Calculations (LOCKED)'!N145/'Formula Calculations (LOCKED)'!$N$2)),((0.5*(10000000-'Sheet 2. County Level Data'!$P$12))*('Formula Calculations (LOCKED)'!J145/'Formula Calculations (LOCKED)'!$J$2))+((0.5*(10000000-'Sheet 2. County Level Data'!$P$12))*('Formula Calculations (LOCKED)'!M145/'Formula Calculations (LOCKED)'!$M$2)))</f>
        <v>#DIV/0!</v>
      </c>
      <c r="N145" s="29" t="e">
        <f>IF('Formula Calculations (LOCKED)'!$G145=1,((0.5*'Sheet 2. County Level Data'!$P$12)*('Formula Calculations (LOCKED)'!K145/'Formula Calculations (LOCKED)'!$K$2))+((0.5*'Sheet 2. County Level Data'!$P$12)*('Formula Calculations (LOCKED)'!R145/'Formula Calculations (LOCKED)'!$R$2)),((0.5*(10000000-'Sheet 2. County Level Data'!$P$12))*('Formula Calculations (LOCKED)'!J145/'Formula Calculations (LOCKED)'!$J$2))+((0.5*(10000000-'Sheet 2. County Level Data'!$P$12))*('Formula Calculations (LOCKED)'!Q145/'Formula Calculations (LOCKED)'!$Q$2)))</f>
        <v>#DIV/0!</v>
      </c>
    </row>
    <row r="146" spans="1:14" x14ac:dyDescent="0.2">
      <c r="A146" s="7">
        <f>'Sheet 2. County Level Data'!A144</f>
        <v>0</v>
      </c>
      <c r="B146" s="29" t="e">
        <f>('Formula Calculations (LOCKED)'!C146*'Sheet 2. County Level Data'!$P$4)</f>
        <v>#DIV/0!</v>
      </c>
      <c r="C146" s="29" t="e">
        <f>'Formula Calculations (LOCKED)'!H146/'Formula Calculations (LOCKED)'!$H$2*'Sheet 2. County Level Data'!$P$4</f>
        <v>#DIV/0!</v>
      </c>
      <c r="D146" s="29" t="e">
        <f>('Formula Calculations (LOCKED)'!L146/'Formula Calculations (LOCKED)'!$L$2)*'Sheet 2. County Level Data'!$P$4</f>
        <v>#DIV/0!</v>
      </c>
      <c r="E146" s="29" t="e">
        <f>('Formula Calculations (LOCKED)'!O146/'Formula Calculations (LOCKED)'!$O$2)*'Sheet 2. County Level Data'!$P$4</f>
        <v>#DIV/0!</v>
      </c>
      <c r="F146" s="29" t="e">
        <f>('Formula Calculations (LOCKED)'!D146/'Formula Calculations (LOCKED)'!$D$2)*'Sheet 2. County Level Data'!$P$4</f>
        <v>#DIV/0!</v>
      </c>
      <c r="G146" s="29" t="e">
        <f>'Sheet 2. County Level Data'!$T$11+(0.5*10000000)*'Formula Calculations (LOCKED)'!H146/'Formula Calculations (LOCKED)'!$H$2</f>
        <v>#DIV/0!</v>
      </c>
      <c r="H146" s="29" t="e">
        <f>(0.5*10000000)*'Formula Calculations (LOCKED)'!H146/'Formula Calculations (LOCKED)'!$H$2+(0.5*10000000)*'Formula Calculations (LOCKED)'!D146/'Formula Calculations (LOCKED)'!$D$2</f>
        <v>#DIV/0!</v>
      </c>
      <c r="I146" s="7" t="e">
        <f>'Sheet 2. County Level Data'!$T$12+(0.3333333333*10000000*('Formula Calculations (LOCKED)'!H146/'Formula Calculations (LOCKED)'!$H$2))+(0.3333333333*10000000*('Formula Calculations (LOCKED)'!D146/'Formula Calculations (LOCKED)'!$D$2))</f>
        <v>#DIV/0!</v>
      </c>
      <c r="J146" s="29" t="e">
        <f>'Sheet 2. County Level Data'!$T$13+(0.25*10000000*('Formula Calculations (LOCKED)'!H146/'Formula Calculations (LOCKED)'!$H$2))+(0.25*10000000*('Formula Calculations (LOCKED)'!D146/'Formula Calculations (LOCKED)'!$D$2))+(0.25*10000000*('Formula Calculations (LOCKED)'!L146/'Formula Calculations (LOCKED)'!$L$2))</f>
        <v>#DIV/0!</v>
      </c>
      <c r="K146" s="29" t="e">
        <f>'Sheet 2. County Level Data'!$T$13+(0.25*10000000*('Formula Calculations (LOCKED)'!H146/'Formula Calculations (LOCKED)'!$H$2))+(0.25*10000000*('Formula Calculations (LOCKED)'!D146/'Formula Calculations (LOCKED)'!$D$2))+(0.25*10000000*('Formula Calculations (LOCKED)'!O146/'Formula Calculations (LOCKED)'!$O$2))</f>
        <v>#DIV/0!</v>
      </c>
      <c r="L146" s="29" t="e">
        <f>IF('Formula Calculations (LOCKED)'!$G146=1,('Sheet 2. County Level Data'!$P$12*('Formula Calculations (LOCKED)'!K146/'Formula Calculations (LOCKED)'!$K$2)),((10000000-'Sheet 2. County Level Data'!$P$12)*'Formula Calculations (LOCKED)'!J146/'Formula Calculations (LOCKED)'!$J$2))</f>
        <v>#DIV/0!</v>
      </c>
      <c r="M146" s="29" t="e">
        <f>IF('Formula Calculations (LOCKED)'!$G146=1,((0.5*'Sheet 2. County Level Data'!$P$12)*('Formula Calculations (LOCKED)'!K146/'Formula Calculations (LOCKED)'!$K$2))+((0.5*'Sheet 2. County Level Data'!$P$12)*('Formula Calculations (LOCKED)'!N146/'Formula Calculations (LOCKED)'!$N$2)),((0.5*(10000000-'Sheet 2. County Level Data'!$P$12))*('Formula Calculations (LOCKED)'!J146/'Formula Calculations (LOCKED)'!$J$2))+((0.5*(10000000-'Sheet 2. County Level Data'!$P$12))*('Formula Calculations (LOCKED)'!M146/'Formula Calculations (LOCKED)'!$M$2)))</f>
        <v>#DIV/0!</v>
      </c>
      <c r="N146" s="29" t="e">
        <f>IF('Formula Calculations (LOCKED)'!$G146=1,((0.5*'Sheet 2. County Level Data'!$P$12)*('Formula Calculations (LOCKED)'!K146/'Formula Calculations (LOCKED)'!$K$2))+((0.5*'Sheet 2. County Level Data'!$P$12)*('Formula Calculations (LOCKED)'!R146/'Formula Calculations (LOCKED)'!$R$2)),((0.5*(10000000-'Sheet 2. County Level Data'!$P$12))*('Formula Calculations (LOCKED)'!J146/'Formula Calculations (LOCKED)'!$J$2))+((0.5*(10000000-'Sheet 2. County Level Data'!$P$12))*('Formula Calculations (LOCKED)'!Q146/'Formula Calculations (LOCKED)'!$Q$2)))</f>
        <v>#DIV/0!</v>
      </c>
    </row>
    <row r="147" spans="1:14" x14ac:dyDescent="0.2">
      <c r="A147" s="7">
        <f>'Sheet 2. County Level Data'!A145</f>
        <v>0</v>
      </c>
      <c r="B147" s="29" t="e">
        <f>('Formula Calculations (LOCKED)'!C147*'Sheet 2. County Level Data'!$P$4)</f>
        <v>#DIV/0!</v>
      </c>
      <c r="C147" s="29" t="e">
        <f>'Formula Calculations (LOCKED)'!H147/'Formula Calculations (LOCKED)'!$H$2*'Sheet 2. County Level Data'!$P$4</f>
        <v>#DIV/0!</v>
      </c>
      <c r="D147" s="29" t="e">
        <f>('Formula Calculations (LOCKED)'!L147/'Formula Calculations (LOCKED)'!$L$2)*'Sheet 2. County Level Data'!$P$4</f>
        <v>#DIV/0!</v>
      </c>
      <c r="E147" s="29" t="e">
        <f>('Formula Calculations (LOCKED)'!O147/'Formula Calculations (LOCKED)'!$O$2)*'Sheet 2. County Level Data'!$P$4</f>
        <v>#DIV/0!</v>
      </c>
      <c r="F147" s="29" t="e">
        <f>('Formula Calculations (LOCKED)'!D147/'Formula Calculations (LOCKED)'!$D$2)*'Sheet 2. County Level Data'!$P$4</f>
        <v>#DIV/0!</v>
      </c>
      <c r="G147" s="29" t="e">
        <f>'Sheet 2. County Level Data'!$T$11+(0.5*10000000)*'Formula Calculations (LOCKED)'!H147/'Formula Calculations (LOCKED)'!$H$2</f>
        <v>#DIV/0!</v>
      </c>
      <c r="H147" s="29" t="e">
        <f>(0.5*10000000)*'Formula Calculations (LOCKED)'!H147/'Formula Calculations (LOCKED)'!$H$2+(0.5*10000000)*'Formula Calculations (LOCKED)'!D147/'Formula Calculations (LOCKED)'!$D$2</f>
        <v>#DIV/0!</v>
      </c>
      <c r="I147" s="7" t="e">
        <f>'Sheet 2. County Level Data'!$T$12+(0.3333333333*10000000*('Formula Calculations (LOCKED)'!H147/'Formula Calculations (LOCKED)'!$H$2))+(0.3333333333*10000000*('Formula Calculations (LOCKED)'!D147/'Formula Calculations (LOCKED)'!$D$2))</f>
        <v>#DIV/0!</v>
      </c>
      <c r="J147" s="29" t="e">
        <f>'Sheet 2. County Level Data'!$T$13+(0.25*10000000*('Formula Calculations (LOCKED)'!H147/'Formula Calculations (LOCKED)'!$H$2))+(0.25*10000000*('Formula Calculations (LOCKED)'!D147/'Formula Calculations (LOCKED)'!$D$2))+(0.25*10000000*('Formula Calculations (LOCKED)'!L147/'Formula Calculations (LOCKED)'!$L$2))</f>
        <v>#DIV/0!</v>
      </c>
      <c r="K147" s="29" t="e">
        <f>'Sheet 2. County Level Data'!$T$13+(0.25*10000000*('Formula Calculations (LOCKED)'!H147/'Formula Calculations (LOCKED)'!$H$2))+(0.25*10000000*('Formula Calculations (LOCKED)'!D147/'Formula Calculations (LOCKED)'!$D$2))+(0.25*10000000*('Formula Calculations (LOCKED)'!O147/'Formula Calculations (LOCKED)'!$O$2))</f>
        <v>#DIV/0!</v>
      </c>
      <c r="L147" s="29" t="e">
        <f>IF('Formula Calculations (LOCKED)'!$G147=1,('Sheet 2. County Level Data'!$P$12*('Formula Calculations (LOCKED)'!K147/'Formula Calculations (LOCKED)'!$K$2)),((10000000-'Sheet 2. County Level Data'!$P$12)*'Formula Calculations (LOCKED)'!J147/'Formula Calculations (LOCKED)'!$J$2))</f>
        <v>#DIV/0!</v>
      </c>
      <c r="M147" s="29" t="e">
        <f>IF('Formula Calculations (LOCKED)'!$G147=1,((0.5*'Sheet 2. County Level Data'!$P$12)*('Formula Calculations (LOCKED)'!K147/'Formula Calculations (LOCKED)'!$K$2))+((0.5*'Sheet 2. County Level Data'!$P$12)*('Formula Calculations (LOCKED)'!N147/'Formula Calculations (LOCKED)'!$N$2)),((0.5*(10000000-'Sheet 2. County Level Data'!$P$12))*('Formula Calculations (LOCKED)'!J147/'Formula Calculations (LOCKED)'!$J$2))+((0.5*(10000000-'Sheet 2. County Level Data'!$P$12))*('Formula Calculations (LOCKED)'!M147/'Formula Calculations (LOCKED)'!$M$2)))</f>
        <v>#DIV/0!</v>
      </c>
      <c r="N147" s="29" t="e">
        <f>IF('Formula Calculations (LOCKED)'!$G147=1,((0.5*'Sheet 2. County Level Data'!$P$12)*('Formula Calculations (LOCKED)'!K147/'Formula Calculations (LOCKED)'!$K$2))+((0.5*'Sheet 2. County Level Data'!$P$12)*('Formula Calculations (LOCKED)'!R147/'Formula Calculations (LOCKED)'!$R$2)),((0.5*(10000000-'Sheet 2. County Level Data'!$P$12))*('Formula Calculations (LOCKED)'!J147/'Formula Calculations (LOCKED)'!$J$2))+((0.5*(10000000-'Sheet 2. County Level Data'!$P$12))*('Formula Calculations (LOCKED)'!Q147/'Formula Calculations (LOCKED)'!$Q$2)))</f>
        <v>#DIV/0!</v>
      </c>
    </row>
    <row r="148" spans="1:14" x14ac:dyDescent="0.2">
      <c r="A148" s="7">
        <f>'Sheet 2. County Level Data'!A146</f>
        <v>0</v>
      </c>
      <c r="B148" s="29" t="e">
        <f>('Formula Calculations (LOCKED)'!C148*'Sheet 2. County Level Data'!$P$4)</f>
        <v>#DIV/0!</v>
      </c>
      <c r="C148" s="29" t="e">
        <f>'Formula Calculations (LOCKED)'!H148/'Formula Calculations (LOCKED)'!$H$2*'Sheet 2. County Level Data'!$P$4</f>
        <v>#DIV/0!</v>
      </c>
      <c r="D148" s="29" t="e">
        <f>('Formula Calculations (LOCKED)'!L148/'Formula Calculations (LOCKED)'!$L$2)*'Sheet 2. County Level Data'!$P$4</f>
        <v>#DIV/0!</v>
      </c>
      <c r="E148" s="29" t="e">
        <f>('Formula Calculations (LOCKED)'!O148/'Formula Calculations (LOCKED)'!$O$2)*'Sheet 2. County Level Data'!$P$4</f>
        <v>#DIV/0!</v>
      </c>
      <c r="F148" s="29" t="e">
        <f>('Formula Calculations (LOCKED)'!D148/'Formula Calculations (LOCKED)'!$D$2)*'Sheet 2. County Level Data'!$P$4</f>
        <v>#DIV/0!</v>
      </c>
      <c r="G148" s="29" t="e">
        <f>'Sheet 2. County Level Data'!$T$11+(0.5*10000000)*'Formula Calculations (LOCKED)'!H148/'Formula Calculations (LOCKED)'!$H$2</f>
        <v>#DIV/0!</v>
      </c>
      <c r="H148" s="29" t="e">
        <f>(0.5*10000000)*'Formula Calculations (LOCKED)'!H148/'Formula Calculations (LOCKED)'!$H$2+(0.5*10000000)*'Formula Calculations (LOCKED)'!D148/'Formula Calculations (LOCKED)'!$D$2</f>
        <v>#DIV/0!</v>
      </c>
      <c r="I148" s="7" t="e">
        <f>'Sheet 2. County Level Data'!$T$12+(0.3333333333*10000000*('Formula Calculations (LOCKED)'!H148/'Formula Calculations (LOCKED)'!$H$2))+(0.3333333333*10000000*('Formula Calculations (LOCKED)'!D148/'Formula Calculations (LOCKED)'!$D$2))</f>
        <v>#DIV/0!</v>
      </c>
      <c r="J148" s="29" t="e">
        <f>'Sheet 2. County Level Data'!$T$13+(0.25*10000000*('Formula Calculations (LOCKED)'!H148/'Formula Calculations (LOCKED)'!$H$2))+(0.25*10000000*('Formula Calculations (LOCKED)'!D148/'Formula Calculations (LOCKED)'!$D$2))+(0.25*10000000*('Formula Calculations (LOCKED)'!L148/'Formula Calculations (LOCKED)'!$L$2))</f>
        <v>#DIV/0!</v>
      </c>
      <c r="K148" s="29" t="e">
        <f>'Sheet 2. County Level Data'!$T$13+(0.25*10000000*('Formula Calculations (LOCKED)'!H148/'Formula Calculations (LOCKED)'!$H$2))+(0.25*10000000*('Formula Calculations (LOCKED)'!D148/'Formula Calculations (LOCKED)'!$D$2))+(0.25*10000000*('Formula Calculations (LOCKED)'!O148/'Formula Calculations (LOCKED)'!$O$2))</f>
        <v>#DIV/0!</v>
      </c>
      <c r="L148" s="29" t="e">
        <f>IF('Formula Calculations (LOCKED)'!$G148=1,('Sheet 2. County Level Data'!$P$12*('Formula Calculations (LOCKED)'!K148/'Formula Calculations (LOCKED)'!$K$2)),((10000000-'Sheet 2. County Level Data'!$P$12)*'Formula Calculations (LOCKED)'!J148/'Formula Calculations (LOCKED)'!$J$2))</f>
        <v>#DIV/0!</v>
      </c>
      <c r="M148" s="29" t="e">
        <f>IF('Formula Calculations (LOCKED)'!$G148=1,((0.5*'Sheet 2. County Level Data'!$P$12)*('Formula Calculations (LOCKED)'!K148/'Formula Calculations (LOCKED)'!$K$2))+((0.5*'Sheet 2. County Level Data'!$P$12)*('Formula Calculations (LOCKED)'!N148/'Formula Calculations (LOCKED)'!$N$2)),((0.5*(10000000-'Sheet 2. County Level Data'!$P$12))*('Formula Calculations (LOCKED)'!J148/'Formula Calculations (LOCKED)'!$J$2))+((0.5*(10000000-'Sheet 2. County Level Data'!$P$12))*('Formula Calculations (LOCKED)'!M148/'Formula Calculations (LOCKED)'!$M$2)))</f>
        <v>#DIV/0!</v>
      </c>
      <c r="N148" s="29" t="e">
        <f>IF('Formula Calculations (LOCKED)'!$G148=1,((0.5*'Sheet 2. County Level Data'!$P$12)*('Formula Calculations (LOCKED)'!K148/'Formula Calculations (LOCKED)'!$K$2))+((0.5*'Sheet 2. County Level Data'!$P$12)*('Formula Calculations (LOCKED)'!R148/'Formula Calculations (LOCKED)'!$R$2)),((0.5*(10000000-'Sheet 2. County Level Data'!$P$12))*('Formula Calculations (LOCKED)'!J148/'Formula Calculations (LOCKED)'!$J$2))+((0.5*(10000000-'Sheet 2. County Level Data'!$P$12))*('Formula Calculations (LOCKED)'!Q148/'Formula Calculations (LOCKED)'!$Q$2)))</f>
        <v>#DIV/0!</v>
      </c>
    </row>
    <row r="149" spans="1:14" x14ac:dyDescent="0.2">
      <c r="A149" s="7">
        <f>'Sheet 2. County Level Data'!A147</f>
        <v>0</v>
      </c>
      <c r="B149" s="29" t="e">
        <f>('Formula Calculations (LOCKED)'!C149*'Sheet 2. County Level Data'!$P$4)</f>
        <v>#DIV/0!</v>
      </c>
      <c r="C149" s="29" t="e">
        <f>'Formula Calculations (LOCKED)'!H149/'Formula Calculations (LOCKED)'!$H$2*'Sheet 2. County Level Data'!$P$4</f>
        <v>#DIV/0!</v>
      </c>
      <c r="D149" s="29" t="e">
        <f>('Formula Calculations (LOCKED)'!L149/'Formula Calculations (LOCKED)'!$L$2)*'Sheet 2. County Level Data'!$P$4</f>
        <v>#DIV/0!</v>
      </c>
      <c r="E149" s="29" t="e">
        <f>('Formula Calculations (LOCKED)'!O149/'Formula Calculations (LOCKED)'!$O$2)*'Sheet 2. County Level Data'!$P$4</f>
        <v>#DIV/0!</v>
      </c>
      <c r="F149" s="29" t="e">
        <f>('Formula Calculations (LOCKED)'!D149/'Formula Calculations (LOCKED)'!$D$2)*'Sheet 2. County Level Data'!$P$4</f>
        <v>#DIV/0!</v>
      </c>
      <c r="G149" s="29" t="e">
        <f>'Sheet 2. County Level Data'!$T$11+(0.5*10000000)*'Formula Calculations (LOCKED)'!H149/'Formula Calculations (LOCKED)'!$H$2</f>
        <v>#DIV/0!</v>
      </c>
      <c r="H149" s="29" t="e">
        <f>(0.5*10000000)*'Formula Calculations (LOCKED)'!H149/'Formula Calculations (LOCKED)'!$H$2+(0.5*10000000)*'Formula Calculations (LOCKED)'!D149/'Formula Calculations (LOCKED)'!$D$2</f>
        <v>#DIV/0!</v>
      </c>
      <c r="I149" s="7" t="e">
        <f>'Sheet 2. County Level Data'!$T$12+(0.3333333333*10000000*('Formula Calculations (LOCKED)'!H149/'Formula Calculations (LOCKED)'!$H$2))+(0.3333333333*10000000*('Formula Calculations (LOCKED)'!D149/'Formula Calculations (LOCKED)'!$D$2))</f>
        <v>#DIV/0!</v>
      </c>
      <c r="J149" s="29" t="e">
        <f>'Sheet 2. County Level Data'!$T$13+(0.25*10000000*('Formula Calculations (LOCKED)'!H149/'Formula Calculations (LOCKED)'!$H$2))+(0.25*10000000*('Formula Calculations (LOCKED)'!D149/'Formula Calculations (LOCKED)'!$D$2))+(0.25*10000000*('Formula Calculations (LOCKED)'!L149/'Formula Calculations (LOCKED)'!$L$2))</f>
        <v>#DIV/0!</v>
      </c>
      <c r="K149" s="29" t="e">
        <f>'Sheet 2. County Level Data'!$T$13+(0.25*10000000*('Formula Calculations (LOCKED)'!H149/'Formula Calculations (LOCKED)'!$H$2))+(0.25*10000000*('Formula Calculations (LOCKED)'!D149/'Formula Calculations (LOCKED)'!$D$2))+(0.25*10000000*('Formula Calculations (LOCKED)'!O149/'Formula Calculations (LOCKED)'!$O$2))</f>
        <v>#DIV/0!</v>
      </c>
      <c r="L149" s="29" t="e">
        <f>IF('Formula Calculations (LOCKED)'!$G149=1,('Sheet 2. County Level Data'!$P$12*('Formula Calculations (LOCKED)'!K149/'Formula Calculations (LOCKED)'!$K$2)),((10000000-'Sheet 2. County Level Data'!$P$12)*'Formula Calculations (LOCKED)'!J149/'Formula Calculations (LOCKED)'!$J$2))</f>
        <v>#DIV/0!</v>
      </c>
      <c r="M149" s="29" t="e">
        <f>IF('Formula Calculations (LOCKED)'!$G149=1,((0.5*'Sheet 2. County Level Data'!$P$12)*('Formula Calculations (LOCKED)'!K149/'Formula Calculations (LOCKED)'!$K$2))+((0.5*'Sheet 2. County Level Data'!$P$12)*('Formula Calculations (LOCKED)'!N149/'Formula Calculations (LOCKED)'!$N$2)),((0.5*(10000000-'Sheet 2. County Level Data'!$P$12))*('Formula Calculations (LOCKED)'!J149/'Formula Calculations (LOCKED)'!$J$2))+((0.5*(10000000-'Sheet 2. County Level Data'!$P$12))*('Formula Calculations (LOCKED)'!M149/'Formula Calculations (LOCKED)'!$M$2)))</f>
        <v>#DIV/0!</v>
      </c>
      <c r="N149" s="29" t="e">
        <f>IF('Formula Calculations (LOCKED)'!$G149=1,((0.5*'Sheet 2. County Level Data'!$P$12)*('Formula Calculations (LOCKED)'!K149/'Formula Calculations (LOCKED)'!$K$2))+((0.5*'Sheet 2. County Level Data'!$P$12)*('Formula Calculations (LOCKED)'!R149/'Formula Calculations (LOCKED)'!$R$2)),((0.5*(10000000-'Sheet 2. County Level Data'!$P$12))*('Formula Calculations (LOCKED)'!J149/'Formula Calculations (LOCKED)'!$J$2))+((0.5*(10000000-'Sheet 2. County Level Data'!$P$12))*('Formula Calculations (LOCKED)'!Q149/'Formula Calculations (LOCKED)'!$Q$2)))</f>
        <v>#DIV/0!</v>
      </c>
    </row>
    <row r="150" spans="1:14" x14ac:dyDescent="0.2">
      <c r="A150" s="7">
        <f>'Sheet 2. County Level Data'!A148</f>
        <v>0</v>
      </c>
      <c r="B150" s="29" t="e">
        <f>('Formula Calculations (LOCKED)'!C150*'Sheet 2. County Level Data'!$P$4)</f>
        <v>#DIV/0!</v>
      </c>
      <c r="C150" s="29" t="e">
        <f>'Formula Calculations (LOCKED)'!H150/'Formula Calculations (LOCKED)'!$H$2*'Sheet 2. County Level Data'!$P$4</f>
        <v>#DIV/0!</v>
      </c>
      <c r="D150" s="29" t="e">
        <f>('Formula Calculations (LOCKED)'!L150/'Formula Calculations (LOCKED)'!$L$2)*'Sheet 2. County Level Data'!$P$4</f>
        <v>#DIV/0!</v>
      </c>
      <c r="E150" s="29" t="e">
        <f>('Formula Calculations (LOCKED)'!O150/'Formula Calculations (LOCKED)'!$O$2)*'Sheet 2. County Level Data'!$P$4</f>
        <v>#DIV/0!</v>
      </c>
      <c r="F150" s="29" t="e">
        <f>('Formula Calculations (LOCKED)'!D150/'Formula Calculations (LOCKED)'!$D$2)*'Sheet 2. County Level Data'!$P$4</f>
        <v>#DIV/0!</v>
      </c>
      <c r="G150" s="29" t="e">
        <f>'Sheet 2. County Level Data'!$T$11+(0.5*10000000)*'Formula Calculations (LOCKED)'!H150/'Formula Calculations (LOCKED)'!$H$2</f>
        <v>#DIV/0!</v>
      </c>
      <c r="H150" s="29" t="e">
        <f>(0.5*10000000)*'Formula Calculations (LOCKED)'!H150/'Formula Calculations (LOCKED)'!$H$2+(0.5*10000000)*'Formula Calculations (LOCKED)'!D150/'Formula Calculations (LOCKED)'!$D$2</f>
        <v>#DIV/0!</v>
      </c>
      <c r="I150" s="7" t="e">
        <f>'Sheet 2. County Level Data'!$T$12+(0.3333333333*10000000*('Formula Calculations (LOCKED)'!H150/'Formula Calculations (LOCKED)'!$H$2))+(0.3333333333*10000000*('Formula Calculations (LOCKED)'!D150/'Formula Calculations (LOCKED)'!$D$2))</f>
        <v>#DIV/0!</v>
      </c>
      <c r="J150" s="29" t="e">
        <f>'Sheet 2. County Level Data'!$T$13+(0.25*10000000*('Formula Calculations (LOCKED)'!H150/'Formula Calculations (LOCKED)'!$H$2))+(0.25*10000000*('Formula Calculations (LOCKED)'!D150/'Formula Calculations (LOCKED)'!$D$2))+(0.25*10000000*('Formula Calculations (LOCKED)'!L150/'Formula Calculations (LOCKED)'!$L$2))</f>
        <v>#DIV/0!</v>
      </c>
      <c r="K150" s="29" t="e">
        <f>'Sheet 2. County Level Data'!$T$13+(0.25*10000000*('Formula Calculations (LOCKED)'!H150/'Formula Calculations (LOCKED)'!$H$2))+(0.25*10000000*('Formula Calculations (LOCKED)'!D150/'Formula Calculations (LOCKED)'!$D$2))+(0.25*10000000*('Formula Calculations (LOCKED)'!O150/'Formula Calculations (LOCKED)'!$O$2))</f>
        <v>#DIV/0!</v>
      </c>
      <c r="L150" s="29" t="e">
        <f>IF('Formula Calculations (LOCKED)'!$G150=1,('Sheet 2. County Level Data'!$P$12*('Formula Calculations (LOCKED)'!K150/'Formula Calculations (LOCKED)'!$K$2)),((10000000-'Sheet 2. County Level Data'!$P$12)*'Formula Calculations (LOCKED)'!J150/'Formula Calculations (LOCKED)'!$J$2))</f>
        <v>#DIV/0!</v>
      </c>
      <c r="M150" s="29" t="e">
        <f>IF('Formula Calculations (LOCKED)'!$G150=1,((0.5*'Sheet 2. County Level Data'!$P$12)*('Formula Calculations (LOCKED)'!K150/'Formula Calculations (LOCKED)'!$K$2))+((0.5*'Sheet 2. County Level Data'!$P$12)*('Formula Calculations (LOCKED)'!N150/'Formula Calculations (LOCKED)'!$N$2)),((0.5*(10000000-'Sheet 2. County Level Data'!$P$12))*('Formula Calculations (LOCKED)'!J150/'Formula Calculations (LOCKED)'!$J$2))+((0.5*(10000000-'Sheet 2. County Level Data'!$P$12))*('Formula Calculations (LOCKED)'!M150/'Formula Calculations (LOCKED)'!$M$2)))</f>
        <v>#DIV/0!</v>
      </c>
      <c r="N150" s="29" t="e">
        <f>IF('Formula Calculations (LOCKED)'!$G150=1,((0.5*'Sheet 2. County Level Data'!$P$12)*('Formula Calculations (LOCKED)'!K150/'Formula Calculations (LOCKED)'!$K$2))+((0.5*'Sheet 2. County Level Data'!$P$12)*('Formula Calculations (LOCKED)'!R150/'Formula Calculations (LOCKED)'!$R$2)),((0.5*(10000000-'Sheet 2. County Level Data'!$P$12))*('Formula Calculations (LOCKED)'!J150/'Formula Calculations (LOCKED)'!$J$2))+((0.5*(10000000-'Sheet 2. County Level Data'!$P$12))*('Formula Calculations (LOCKED)'!Q150/'Formula Calculations (LOCKED)'!$Q$2)))</f>
        <v>#DIV/0!</v>
      </c>
    </row>
    <row r="151" spans="1:14" x14ac:dyDescent="0.2">
      <c r="A151" s="7">
        <f>'Sheet 2. County Level Data'!A149</f>
        <v>0</v>
      </c>
      <c r="B151" s="29" t="e">
        <f>('Formula Calculations (LOCKED)'!C151*'Sheet 2. County Level Data'!$P$4)</f>
        <v>#DIV/0!</v>
      </c>
      <c r="C151" s="29" t="e">
        <f>'Formula Calculations (LOCKED)'!H151/'Formula Calculations (LOCKED)'!$H$2*'Sheet 2. County Level Data'!$P$4</f>
        <v>#DIV/0!</v>
      </c>
      <c r="D151" s="29" t="e">
        <f>('Formula Calculations (LOCKED)'!L151/'Formula Calculations (LOCKED)'!$L$2)*'Sheet 2. County Level Data'!$P$4</f>
        <v>#DIV/0!</v>
      </c>
      <c r="E151" s="29" t="e">
        <f>('Formula Calculations (LOCKED)'!O151/'Formula Calculations (LOCKED)'!$O$2)*'Sheet 2. County Level Data'!$P$4</f>
        <v>#DIV/0!</v>
      </c>
      <c r="F151" s="29" t="e">
        <f>('Formula Calculations (LOCKED)'!D151/'Formula Calculations (LOCKED)'!$D$2)*'Sheet 2. County Level Data'!$P$4</f>
        <v>#DIV/0!</v>
      </c>
      <c r="G151" s="29" t="e">
        <f>'Sheet 2. County Level Data'!$T$11+(0.5*10000000)*'Formula Calculations (LOCKED)'!H151/'Formula Calculations (LOCKED)'!$H$2</f>
        <v>#DIV/0!</v>
      </c>
      <c r="H151" s="29" t="e">
        <f>(0.5*10000000)*'Formula Calculations (LOCKED)'!H151/'Formula Calculations (LOCKED)'!$H$2+(0.5*10000000)*'Formula Calculations (LOCKED)'!D151/'Formula Calculations (LOCKED)'!$D$2</f>
        <v>#DIV/0!</v>
      </c>
      <c r="I151" s="7" t="e">
        <f>'Sheet 2. County Level Data'!$T$12+(0.3333333333*10000000*('Formula Calculations (LOCKED)'!H151/'Formula Calculations (LOCKED)'!$H$2))+(0.3333333333*10000000*('Formula Calculations (LOCKED)'!D151/'Formula Calculations (LOCKED)'!$D$2))</f>
        <v>#DIV/0!</v>
      </c>
      <c r="J151" s="29" t="e">
        <f>'Sheet 2. County Level Data'!$T$13+(0.25*10000000*('Formula Calculations (LOCKED)'!H151/'Formula Calculations (LOCKED)'!$H$2))+(0.25*10000000*('Formula Calculations (LOCKED)'!D151/'Formula Calculations (LOCKED)'!$D$2))+(0.25*10000000*('Formula Calculations (LOCKED)'!L151/'Formula Calculations (LOCKED)'!$L$2))</f>
        <v>#DIV/0!</v>
      </c>
      <c r="K151" s="29" t="e">
        <f>'Sheet 2. County Level Data'!$T$13+(0.25*10000000*('Formula Calculations (LOCKED)'!H151/'Formula Calculations (LOCKED)'!$H$2))+(0.25*10000000*('Formula Calculations (LOCKED)'!D151/'Formula Calculations (LOCKED)'!$D$2))+(0.25*10000000*('Formula Calculations (LOCKED)'!O151/'Formula Calculations (LOCKED)'!$O$2))</f>
        <v>#DIV/0!</v>
      </c>
      <c r="L151" s="29" t="e">
        <f>IF('Formula Calculations (LOCKED)'!$G151=1,('Sheet 2. County Level Data'!$P$12*('Formula Calculations (LOCKED)'!K151/'Formula Calculations (LOCKED)'!$K$2)),((10000000-'Sheet 2. County Level Data'!$P$12)*'Formula Calculations (LOCKED)'!J151/'Formula Calculations (LOCKED)'!$J$2))</f>
        <v>#DIV/0!</v>
      </c>
      <c r="M151" s="29" t="e">
        <f>IF('Formula Calculations (LOCKED)'!$G151=1,((0.5*'Sheet 2. County Level Data'!$P$12)*('Formula Calculations (LOCKED)'!K151/'Formula Calculations (LOCKED)'!$K$2))+((0.5*'Sheet 2. County Level Data'!$P$12)*('Formula Calculations (LOCKED)'!N151/'Formula Calculations (LOCKED)'!$N$2)),((0.5*(10000000-'Sheet 2. County Level Data'!$P$12))*('Formula Calculations (LOCKED)'!J151/'Formula Calculations (LOCKED)'!$J$2))+((0.5*(10000000-'Sheet 2. County Level Data'!$P$12))*('Formula Calculations (LOCKED)'!M151/'Formula Calculations (LOCKED)'!$M$2)))</f>
        <v>#DIV/0!</v>
      </c>
      <c r="N151" s="29" t="e">
        <f>IF('Formula Calculations (LOCKED)'!$G151=1,((0.5*'Sheet 2. County Level Data'!$P$12)*('Formula Calculations (LOCKED)'!K151/'Formula Calculations (LOCKED)'!$K$2))+((0.5*'Sheet 2. County Level Data'!$P$12)*('Formula Calculations (LOCKED)'!R151/'Formula Calculations (LOCKED)'!$R$2)),((0.5*(10000000-'Sheet 2. County Level Data'!$P$12))*('Formula Calculations (LOCKED)'!J151/'Formula Calculations (LOCKED)'!$J$2))+((0.5*(10000000-'Sheet 2. County Level Data'!$P$12))*('Formula Calculations (LOCKED)'!Q151/'Formula Calculations (LOCKED)'!$Q$2)))</f>
        <v>#DIV/0!</v>
      </c>
    </row>
    <row r="152" spans="1:14" x14ac:dyDescent="0.2">
      <c r="A152" s="7">
        <f>'Sheet 2. County Level Data'!A150</f>
        <v>0</v>
      </c>
      <c r="B152" s="29" t="e">
        <f>('Formula Calculations (LOCKED)'!C152*'Sheet 2. County Level Data'!$P$4)</f>
        <v>#DIV/0!</v>
      </c>
      <c r="C152" s="29" t="e">
        <f>'Formula Calculations (LOCKED)'!H152/'Formula Calculations (LOCKED)'!$H$2*'Sheet 2. County Level Data'!$P$4</f>
        <v>#DIV/0!</v>
      </c>
      <c r="D152" s="29" t="e">
        <f>('Formula Calculations (LOCKED)'!L152/'Formula Calculations (LOCKED)'!$L$2)*'Sheet 2. County Level Data'!$P$4</f>
        <v>#DIV/0!</v>
      </c>
      <c r="E152" s="29" t="e">
        <f>('Formula Calculations (LOCKED)'!O152/'Formula Calculations (LOCKED)'!$O$2)*'Sheet 2. County Level Data'!$P$4</f>
        <v>#DIV/0!</v>
      </c>
      <c r="F152" s="29" t="e">
        <f>('Formula Calculations (LOCKED)'!D152/'Formula Calculations (LOCKED)'!$D$2)*'Sheet 2. County Level Data'!$P$4</f>
        <v>#DIV/0!</v>
      </c>
      <c r="G152" s="29" t="e">
        <f>'Sheet 2. County Level Data'!$T$11+(0.5*10000000)*'Formula Calculations (LOCKED)'!H152/'Formula Calculations (LOCKED)'!$H$2</f>
        <v>#DIV/0!</v>
      </c>
      <c r="H152" s="29" t="e">
        <f>(0.5*10000000)*'Formula Calculations (LOCKED)'!H152/'Formula Calculations (LOCKED)'!$H$2+(0.5*10000000)*'Formula Calculations (LOCKED)'!D152/'Formula Calculations (LOCKED)'!$D$2</f>
        <v>#DIV/0!</v>
      </c>
      <c r="I152" s="7" t="e">
        <f>'Sheet 2. County Level Data'!$T$12+(0.3333333333*10000000*('Formula Calculations (LOCKED)'!H152/'Formula Calculations (LOCKED)'!$H$2))+(0.3333333333*10000000*('Formula Calculations (LOCKED)'!D152/'Formula Calculations (LOCKED)'!$D$2))</f>
        <v>#DIV/0!</v>
      </c>
      <c r="J152" s="29" t="e">
        <f>'Sheet 2. County Level Data'!$T$13+(0.25*10000000*('Formula Calculations (LOCKED)'!H152/'Formula Calculations (LOCKED)'!$H$2))+(0.25*10000000*('Formula Calculations (LOCKED)'!D152/'Formula Calculations (LOCKED)'!$D$2))+(0.25*10000000*('Formula Calculations (LOCKED)'!L152/'Formula Calculations (LOCKED)'!$L$2))</f>
        <v>#DIV/0!</v>
      </c>
      <c r="K152" s="29" t="e">
        <f>'Sheet 2. County Level Data'!$T$13+(0.25*10000000*('Formula Calculations (LOCKED)'!H152/'Formula Calculations (LOCKED)'!$H$2))+(0.25*10000000*('Formula Calculations (LOCKED)'!D152/'Formula Calculations (LOCKED)'!$D$2))+(0.25*10000000*('Formula Calculations (LOCKED)'!O152/'Formula Calculations (LOCKED)'!$O$2))</f>
        <v>#DIV/0!</v>
      </c>
      <c r="L152" s="29" t="e">
        <f>IF('Formula Calculations (LOCKED)'!$G152=1,('Sheet 2. County Level Data'!$P$12*('Formula Calculations (LOCKED)'!K152/'Formula Calculations (LOCKED)'!$K$2)),((10000000-'Sheet 2. County Level Data'!$P$12)*'Formula Calculations (LOCKED)'!J152/'Formula Calculations (LOCKED)'!$J$2))</f>
        <v>#DIV/0!</v>
      </c>
      <c r="M152" s="29" t="e">
        <f>IF('Formula Calculations (LOCKED)'!$G152=1,((0.5*'Sheet 2. County Level Data'!$P$12)*('Formula Calculations (LOCKED)'!K152/'Formula Calculations (LOCKED)'!$K$2))+((0.5*'Sheet 2. County Level Data'!$P$12)*('Formula Calculations (LOCKED)'!N152/'Formula Calculations (LOCKED)'!$N$2)),((0.5*(10000000-'Sheet 2. County Level Data'!$P$12))*('Formula Calculations (LOCKED)'!J152/'Formula Calculations (LOCKED)'!$J$2))+((0.5*(10000000-'Sheet 2. County Level Data'!$P$12))*('Formula Calculations (LOCKED)'!M152/'Formula Calculations (LOCKED)'!$M$2)))</f>
        <v>#DIV/0!</v>
      </c>
      <c r="N152" s="29" t="e">
        <f>IF('Formula Calculations (LOCKED)'!$G152=1,((0.5*'Sheet 2. County Level Data'!$P$12)*('Formula Calculations (LOCKED)'!K152/'Formula Calculations (LOCKED)'!$K$2))+((0.5*'Sheet 2. County Level Data'!$P$12)*('Formula Calculations (LOCKED)'!R152/'Formula Calculations (LOCKED)'!$R$2)),((0.5*(10000000-'Sheet 2. County Level Data'!$P$12))*('Formula Calculations (LOCKED)'!J152/'Formula Calculations (LOCKED)'!$J$2))+((0.5*(10000000-'Sheet 2. County Level Data'!$P$12))*('Formula Calculations (LOCKED)'!Q152/'Formula Calculations (LOCKED)'!$Q$2)))</f>
        <v>#DIV/0!</v>
      </c>
    </row>
    <row r="153" spans="1:14" x14ac:dyDescent="0.2">
      <c r="A153" s="7">
        <f>'Sheet 2. County Level Data'!A151</f>
        <v>0</v>
      </c>
      <c r="B153" s="29" t="e">
        <f>('Formula Calculations (LOCKED)'!C153*'Sheet 2. County Level Data'!$P$4)</f>
        <v>#DIV/0!</v>
      </c>
      <c r="C153" s="29" t="e">
        <f>'Formula Calculations (LOCKED)'!H153/'Formula Calculations (LOCKED)'!$H$2*'Sheet 2. County Level Data'!$P$4</f>
        <v>#DIV/0!</v>
      </c>
      <c r="D153" s="29" t="e">
        <f>('Formula Calculations (LOCKED)'!L153/'Formula Calculations (LOCKED)'!$L$2)*'Sheet 2. County Level Data'!$P$4</f>
        <v>#DIV/0!</v>
      </c>
      <c r="E153" s="29" t="e">
        <f>('Formula Calculations (LOCKED)'!O153/'Formula Calculations (LOCKED)'!$O$2)*'Sheet 2. County Level Data'!$P$4</f>
        <v>#DIV/0!</v>
      </c>
      <c r="F153" s="29" t="e">
        <f>('Formula Calculations (LOCKED)'!D153/'Formula Calculations (LOCKED)'!$D$2)*'Sheet 2. County Level Data'!$P$4</f>
        <v>#DIV/0!</v>
      </c>
      <c r="G153" s="29" t="e">
        <f>'Sheet 2. County Level Data'!$T$11+(0.5*10000000)*'Formula Calculations (LOCKED)'!H153/'Formula Calculations (LOCKED)'!$H$2</f>
        <v>#DIV/0!</v>
      </c>
      <c r="H153" s="29" t="e">
        <f>(0.5*10000000)*'Formula Calculations (LOCKED)'!H153/'Formula Calculations (LOCKED)'!$H$2+(0.5*10000000)*'Formula Calculations (LOCKED)'!D153/'Formula Calculations (LOCKED)'!$D$2</f>
        <v>#DIV/0!</v>
      </c>
      <c r="I153" s="7" t="e">
        <f>'Sheet 2. County Level Data'!$T$12+(0.3333333333*10000000*('Formula Calculations (LOCKED)'!H153/'Formula Calculations (LOCKED)'!$H$2))+(0.3333333333*10000000*('Formula Calculations (LOCKED)'!D153/'Formula Calculations (LOCKED)'!$D$2))</f>
        <v>#DIV/0!</v>
      </c>
      <c r="J153" s="29" t="e">
        <f>'Sheet 2. County Level Data'!$T$13+(0.25*10000000*('Formula Calculations (LOCKED)'!H153/'Formula Calculations (LOCKED)'!$H$2))+(0.25*10000000*('Formula Calculations (LOCKED)'!D153/'Formula Calculations (LOCKED)'!$D$2))+(0.25*10000000*('Formula Calculations (LOCKED)'!L153/'Formula Calculations (LOCKED)'!$L$2))</f>
        <v>#DIV/0!</v>
      </c>
      <c r="K153" s="29" t="e">
        <f>'Sheet 2. County Level Data'!$T$13+(0.25*10000000*('Formula Calculations (LOCKED)'!H153/'Formula Calculations (LOCKED)'!$H$2))+(0.25*10000000*('Formula Calculations (LOCKED)'!D153/'Formula Calculations (LOCKED)'!$D$2))+(0.25*10000000*('Formula Calculations (LOCKED)'!O153/'Formula Calculations (LOCKED)'!$O$2))</f>
        <v>#DIV/0!</v>
      </c>
      <c r="L153" s="29" t="e">
        <f>IF('Formula Calculations (LOCKED)'!$G153=1,('Sheet 2. County Level Data'!$P$12*('Formula Calculations (LOCKED)'!K153/'Formula Calculations (LOCKED)'!$K$2)),((10000000-'Sheet 2. County Level Data'!$P$12)*'Formula Calculations (LOCKED)'!J153/'Formula Calculations (LOCKED)'!$J$2))</f>
        <v>#DIV/0!</v>
      </c>
      <c r="M153" s="29" t="e">
        <f>IF('Formula Calculations (LOCKED)'!$G153=1,((0.5*'Sheet 2. County Level Data'!$P$12)*('Formula Calculations (LOCKED)'!K153/'Formula Calculations (LOCKED)'!$K$2))+((0.5*'Sheet 2. County Level Data'!$P$12)*('Formula Calculations (LOCKED)'!N153/'Formula Calculations (LOCKED)'!$N$2)),((0.5*(10000000-'Sheet 2. County Level Data'!$P$12))*('Formula Calculations (LOCKED)'!J153/'Formula Calculations (LOCKED)'!$J$2))+((0.5*(10000000-'Sheet 2. County Level Data'!$P$12))*('Formula Calculations (LOCKED)'!M153/'Formula Calculations (LOCKED)'!$M$2)))</f>
        <v>#DIV/0!</v>
      </c>
      <c r="N153" s="29" t="e">
        <f>IF('Formula Calculations (LOCKED)'!$G153=1,((0.5*'Sheet 2. County Level Data'!$P$12)*('Formula Calculations (LOCKED)'!K153/'Formula Calculations (LOCKED)'!$K$2))+((0.5*'Sheet 2. County Level Data'!$P$12)*('Formula Calculations (LOCKED)'!R153/'Formula Calculations (LOCKED)'!$R$2)),((0.5*(10000000-'Sheet 2. County Level Data'!$P$12))*('Formula Calculations (LOCKED)'!J153/'Formula Calculations (LOCKED)'!$J$2))+((0.5*(10000000-'Sheet 2. County Level Data'!$P$12))*('Formula Calculations (LOCKED)'!Q153/'Formula Calculations (LOCKED)'!$Q$2)))</f>
        <v>#DIV/0!</v>
      </c>
    </row>
    <row r="154" spans="1:14" x14ac:dyDescent="0.2">
      <c r="A154" s="7">
        <f>'Sheet 2. County Level Data'!A152</f>
        <v>0</v>
      </c>
      <c r="B154" s="29" t="e">
        <f>('Formula Calculations (LOCKED)'!C154*'Sheet 2. County Level Data'!$P$4)</f>
        <v>#DIV/0!</v>
      </c>
      <c r="C154" s="29" t="e">
        <f>'Formula Calculations (LOCKED)'!H154/'Formula Calculations (LOCKED)'!$H$2*'Sheet 2. County Level Data'!$P$4</f>
        <v>#DIV/0!</v>
      </c>
      <c r="D154" s="29" t="e">
        <f>('Formula Calculations (LOCKED)'!L154/'Formula Calculations (LOCKED)'!$L$2)*'Sheet 2. County Level Data'!$P$4</f>
        <v>#DIV/0!</v>
      </c>
      <c r="E154" s="29" t="e">
        <f>('Formula Calculations (LOCKED)'!O154/'Formula Calculations (LOCKED)'!$O$2)*'Sheet 2. County Level Data'!$P$4</f>
        <v>#DIV/0!</v>
      </c>
      <c r="F154" s="29" t="e">
        <f>('Formula Calculations (LOCKED)'!D154/'Formula Calculations (LOCKED)'!$D$2)*'Sheet 2. County Level Data'!$P$4</f>
        <v>#DIV/0!</v>
      </c>
      <c r="G154" s="29" t="e">
        <f>'Sheet 2. County Level Data'!$T$11+(0.5*10000000)*'Formula Calculations (LOCKED)'!H154/'Formula Calculations (LOCKED)'!$H$2</f>
        <v>#DIV/0!</v>
      </c>
      <c r="H154" s="29" t="e">
        <f>(0.5*10000000)*'Formula Calculations (LOCKED)'!H154/'Formula Calculations (LOCKED)'!$H$2+(0.5*10000000)*'Formula Calculations (LOCKED)'!D154/'Formula Calculations (LOCKED)'!$D$2</f>
        <v>#DIV/0!</v>
      </c>
      <c r="I154" s="7" t="e">
        <f>'Sheet 2. County Level Data'!$T$12+(0.3333333333*10000000*('Formula Calculations (LOCKED)'!H154/'Formula Calculations (LOCKED)'!$H$2))+(0.3333333333*10000000*('Formula Calculations (LOCKED)'!D154/'Formula Calculations (LOCKED)'!$D$2))</f>
        <v>#DIV/0!</v>
      </c>
      <c r="J154" s="29" t="e">
        <f>'Sheet 2. County Level Data'!$T$13+(0.25*10000000*('Formula Calculations (LOCKED)'!H154/'Formula Calculations (LOCKED)'!$H$2))+(0.25*10000000*('Formula Calculations (LOCKED)'!D154/'Formula Calculations (LOCKED)'!$D$2))+(0.25*10000000*('Formula Calculations (LOCKED)'!L154/'Formula Calculations (LOCKED)'!$L$2))</f>
        <v>#DIV/0!</v>
      </c>
      <c r="K154" s="29" t="e">
        <f>'Sheet 2. County Level Data'!$T$13+(0.25*10000000*('Formula Calculations (LOCKED)'!H154/'Formula Calculations (LOCKED)'!$H$2))+(0.25*10000000*('Formula Calculations (LOCKED)'!D154/'Formula Calculations (LOCKED)'!$D$2))+(0.25*10000000*('Formula Calculations (LOCKED)'!O154/'Formula Calculations (LOCKED)'!$O$2))</f>
        <v>#DIV/0!</v>
      </c>
      <c r="L154" s="29" t="e">
        <f>IF('Formula Calculations (LOCKED)'!$G154=1,('Sheet 2. County Level Data'!$P$12*('Formula Calculations (LOCKED)'!K154/'Formula Calculations (LOCKED)'!$K$2)),((10000000-'Sheet 2. County Level Data'!$P$12)*'Formula Calculations (LOCKED)'!J154/'Formula Calculations (LOCKED)'!$J$2))</f>
        <v>#DIV/0!</v>
      </c>
      <c r="M154" s="29" t="e">
        <f>IF('Formula Calculations (LOCKED)'!$G154=1,((0.5*'Sheet 2. County Level Data'!$P$12)*('Formula Calculations (LOCKED)'!K154/'Formula Calculations (LOCKED)'!$K$2))+((0.5*'Sheet 2. County Level Data'!$P$12)*('Formula Calculations (LOCKED)'!N154/'Formula Calculations (LOCKED)'!$N$2)),((0.5*(10000000-'Sheet 2. County Level Data'!$P$12))*('Formula Calculations (LOCKED)'!J154/'Formula Calculations (LOCKED)'!$J$2))+((0.5*(10000000-'Sheet 2. County Level Data'!$P$12))*('Formula Calculations (LOCKED)'!M154/'Formula Calculations (LOCKED)'!$M$2)))</f>
        <v>#DIV/0!</v>
      </c>
      <c r="N154" s="29" t="e">
        <f>IF('Formula Calculations (LOCKED)'!$G154=1,((0.5*'Sheet 2. County Level Data'!$P$12)*('Formula Calculations (LOCKED)'!K154/'Formula Calculations (LOCKED)'!$K$2))+((0.5*'Sheet 2. County Level Data'!$P$12)*('Formula Calculations (LOCKED)'!R154/'Formula Calculations (LOCKED)'!$R$2)),((0.5*(10000000-'Sheet 2. County Level Data'!$P$12))*('Formula Calculations (LOCKED)'!J154/'Formula Calculations (LOCKED)'!$J$2))+((0.5*(10000000-'Sheet 2. County Level Data'!$P$12))*('Formula Calculations (LOCKED)'!Q154/'Formula Calculations (LOCKED)'!$Q$2)))</f>
        <v>#DIV/0!</v>
      </c>
    </row>
    <row r="155" spans="1:14" x14ac:dyDescent="0.2">
      <c r="A155" s="7">
        <f>'Sheet 2. County Level Data'!A153</f>
        <v>0</v>
      </c>
      <c r="B155" s="29" t="e">
        <f>('Formula Calculations (LOCKED)'!C155*'Sheet 2. County Level Data'!$P$4)</f>
        <v>#DIV/0!</v>
      </c>
      <c r="C155" s="29" t="e">
        <f>'Formula Calculations (LOCKED)'!H155/'Formula Calculations (LOCKED)'!$H$2*'Sheet 2. County Level Data'!$P$4</f>
        <v>#DIV/0!</v>
      </c>
      <c r="D155" s="29" t="e">
        <f>('Formula Calculations (LOCKED)'!L155/'Formula Calculations (LOCKED)'!$L$2)*'Sheet 2. County Level Data'!$P$4</f>
        <v>#DIV/0!</v>
      </c>
      <c r="E155" s="29" t="e">
        <f>('Formula Calculations (LOCKED)'!O155/'Formula Calculations (LOCKED)'!$O$2)*'Sheet 2. County Level Data'!$P$4</f>
        <v>#DIV/0!</v>
      </c>
      <c r="F155" s="29" t="e">
        <f>('Formula Calculations (LOCKED)'!D155/'Formula Calculations (LOCKED)'!$D$2)*'Sheet 2. County Level Data'!$P$4</f>
        <v>#DIV/0!</v>
      </c>
      <c r="G155" s="29" t="e">
        <f>'Sheet 2. County Level Data'!$T$11+(0.5*10000000)*'Formula Calculations (LOCKED)'!H155/'Formula Calculations (LOCKED)'!$H$2</f>
        <v>#DIV/0!</v>
      </c>
      <c r="H155" s="29" t="e">
        <f>(0.5*10000000)*'Formula Calculations (LOCKED)'!H155/'Formula Calculations (LOCKED)'!$H$2+(0.5*10000000)*'Formula Calculations (LOCKED)'!D155/'Formula Calculations (LOCKED)'!$D$2</f>
        <v>#DIV/0!</v>
      </c>
      <c r="I155" s="7" t="e">
        <f>'Sheet 2. County Level Data'!$T$12+(0.3333333333*10000000*('Formula Calculations (LOCKED)'!H155/'Formula Calculations (LOCKED)'!$H$2))+(0.3333333333*10000000*('Formula Calculations (LOCKED)'!D155/'Formula Calculations (LOCKED)'!$D$2))</f>
        <v>#DIV/0!</v>
      </c>
      <c r="J155" s="29" t="e">
        <f>'Sheet 2. County Level Data'!$T$13+(0.25*10000000*('Formula Calculations (LOCKED)'!H155/'Formula Calculations (LOCKED)'!$H$2))+(0.25*10000000*('Formula Calculations (LOCKED)'!D155/'Formula Calculations (LOCKED)'!$D$2))+(0.25*10000000*('Formula Calculations (LOCKED)'!L155/'Formula Calculations (LOCKED)'!$L$2))</f>
        <v>#DIV/0!</v>
      </c>
      <c r="K155" s="29" t="e">
        <f>'Sheet 2. County Level Data'!$T$13+(0.25*10000000*('Formula Calculations (LOCKED)'!H155/'Formula Calculations (LOCKED)'!$H$2))+(0.25*10000000*('Formula Calculations (LOCKED)'!D155/'Formula Calculations (LOCKED)'!$D$2))+(0.25*10000000*('Formula Calculations (LOCKED)'!O155/'Formula Calculations (LOCKED)'!$O$2))</f>
        <v>#DIV/0!</v>
      </c>
      <c r="L155" s="29" t="e">
        <f>IF('Formula Calculations (LOCKED)'!$G155=1,('Sheet 2. County Level Data'!$P$12*('Formula Calculations (LOCKED)'!K155/'Formula Calculations (LOCKED)'!$K$2)),((10000000-'Sheet 2. County Level Data'!$P$12)*'Formula Calculations (LOCKED)'!J155/'Formula Calculations (LOCKED)'!$J$2))</f>
        <v>#DIV/0!</v>
      </c>
      <c r="M155" s="29" t="e">
        <f>IF('Formula Calculations (LOCKED)'!$G155=1,((0.5*'Sheet 2. County Level Data'!$P$12)*('Formula Calculations (LOCKED)'!K155/'Formula Calculations (LOCKED)'!$K$2))+((0.5*'Sheet 2. County Level Data'!$P$12)*('Formula Calculations (LOCKED)'!N155/'Formula Calculations (LOCKED)'!$N$2)),((0.5*(10000000-'Sheet 2. County Level Data'!$P$12))*('Formula Calculations (LOCKED)'!J155/'Formula Calculations (LOCKED)'!$J$2))+((0.5*(10000000-'Sheet 2. County Level Data'!$P$12))*('Formula Calculations (LOCKED)'!M155/'Formula Calculations (LOCKED)'!$M$2)))</f>
        <v>#DIV/0!</v>
      </c>
      <c r="N155" s="29" t="e">
        <f>IF('Formula Calculations (LOCKED)'!$G155=1,((0.5*'Sheet 2. County Level Data'!$P$12)*('Formula Calculations (LOCKED)'!K155/'Formula Calculations (LOCKED)'!$K$2))+((0.5*'Sheet 2. County Level Data'!$P$12)*('Formula Calculations (LOCKED)'!R155/'Formula Calculations (LOCKED)'!$R$2)),((0.5*(10000000-'Sheet 2. County Level Data'!$P$12))*('Formula Calculations (LOCKED)'!J155/'Formula Calculations (LOCKED)'!$J$2))+((0.5*(10000000-'Sheet 2. County Level Data'!$P$12))*('Formula Calculations (LOCKED)'!Q155/'Formula Calculations (LOCKED)'!$Q$2)))</f>
        <v>#DIV/0!</v>
      </c>
    </row>
    <row r="156" spans="1:14" x14ac:dyDescent="0.2">
      <c r="A156" s="7">
        <f>'Sheet 2. County Level Data'!A154</f>
        <v>0</v>
      </c>
      <c r="B156" s="29" t="e">
        <f>('Formula Calculations (LOCKED)'!C156*'Sheet 2. County Level Data'!$P$4)</f>
        <v>#DIV/0!</v>
      </c>
      <c r="C156" s="29" t="e">
        <f>'Formula Calculations (LOCKED)'!H156/'Formula Calculations (LOCKED)'!$H$2*'Sheet 2. County Level Data'!$P$4</f>
        <v>#DIV/0!</v>
      </c>
      <c r="D156" s="29" t="e">
        <f>('Formula Calculations (LOCKED)'!L156/'Formula Calculations (LOCKED)'!$L$2)*'Sheet 2. County Level Data'!$P$4</f>
        <v>#DIV/0!</v>
      </c>
      <c r="E156" s="29" t="e">
        <f>('Formula Calculations (LOCKED)'!O156/'Formula Calculations (LOCKED)'!$O$2)*'Sheet 2. County Level Data'!$P$4</f>
        <v>#DIV/0!</v>
      </c>
      <c r="F156" s="29" t="e">
        <f>('Formula Calculations (LOCKED)'!D156/'Formula Calculations (LOCKED)'!$D$2)*'Sheet 2. County Level Data'!$P$4</f>
        <v>#DIV/0!</v>
      </c>
      <c r="G156" s="29" t="e">
        <f>'Sheet 2. County Level Data'!$T$11+(0.5*10000000)*'Formula Calculations (LOCKED)'!H156/'Formula Calculations (LOCKED)'!$H$2</f>
        <v>#DIV/0!</v>
      </c>
      <c r="H156" s="29" t="e">
        <f>(0.5*10000000)*'Formula Calculations (LOCKED)'!H156/'Formula Calculations (LOCKED)'!$H$2+(0.5*10000000)*'Formula Calculations (LOCKED)'!D156/'Formula Calculations (LOCKED)'!$D$2</f>
        <v>#DIV/0!</v>
      </c>
      <c r="I156" s="7" t="e">
        <f>'Sheet 2. County Level Data'!$T$12+(0.3333333333*10000000*('Formula Calculations (LOCKED)'!H156/'Formula Calculations (LOCKED)'!$H$2))+(0.3333333333*10000000*('Formula Calculations (LOCKED)'!D156/'Formula Calculations (LOCKED)'!$D$2))</f>
        <v>#DIV/0!</v>
      </c>
      <c r="J156" s="29" t="e">
        <f>'Sheet 2. County Level Data'!$T$13+(0.25*10000000*('Formula Calculations (LOCKED)'!H156/'Formula Calculations (LOCKED)'!$H$2))+(0.25*10000000*('Formula Calculations (LOCKED)'!D156/'Formula Calculations (LOCKED)'!$D$2))+(0.25*10000000*('Formula Calculations (LOCKED)'!L156/'Formula Calculations (LOCKED)'!$L$2))</f>
        <v>#DIV/0!</v>
      </c>
      <c r="K156" s="29" t="e">
        <f>'Sheet 2. County Level Data'!$T$13+(0.25*10000000*('Formula Calculations (LOCKED)'!H156/'Formula Calculations (LOCKED)'!$H$2))+(0.25*10000000*('Formula Calculations (LOCKED)'!D156/'Formula Calculations (LOCKED)'!$D$2))+(0.25*10000000*('Formula Calculations (LOCKED)'!O156/'Formula Calculations (LOCKED)'!$O$2))</f>
        <v>#DIV/0!</v>
      </c>
      <c r="L156" s="29" t="e">
        <f>IF('Formula Calculations (LOCKED)'!$G156=1,('Sheet 2. County Level Data'!$P$12*('Formula Calculations (LOCKED)'!K156/'Formula Calculations (LOCKED)'!$K$2)),((10000000-'Sheet 2. County Level Data'!$P$12)*'Formula Calculations (LOCKED)'!J156/'Formula Calculations (LOCKED)'!$J$2))</f>
        <v>#DIV/0!</v>
      </c>
      <c r="M156" s="29" t="e">
        <f>IF('Formula Calculations (LOCKED)'!$G156=1,((0.5*'Sheet 2. County Level Data'!$P$12)*('Formula Calculations (LOCKED)'!K156/'Formula Calculations (LOCKED)'!$K$2))+((0.5*'Sheet 2. County Level Data'!$P$12)*('Formula Calculations (LOCKED)'!N156/'Formula Calculations (LOCKED)'!$N$2)),((0.5*(10000000-'Sheet 2. County Level Data'!$P$12))*('Formula Calculations (LOCKED)'!J156/'Formula Calculations (LOCKED)'!$J$2))+((0.5*(10000000-'Sheet 2. County Level Data'!$P$12))*('Formula Calculations (LOCKED)'!M156/'Formula Calculations (LOCKED)'!$M$2)))</f>
        <v>#DIV/0!</v>
      </c>
      <c r="N156" s="29" t="e">
        <f>IF('Formula Calculations (LOCKED)'!$G156=1,((0.5*'Sheet 2. County Level Data'!$P$12)*('Formula Calculations (LOCKED)'!K156/'Formula Calculations (LOCKED)'!$K$2))+((0.5*'Sheet 2. County Level Data'!$P$12)*('Formula Calculations (LOCKED)'!R156/'Formula Calculations (LOCKED)'!$R$2)),((0.5*(10000000-'Sheet 2. County Level Data'!$P$12))*('Formula Calculations (LOCKED)'!J156/'Formula Calculations (LOCKED)'!$J$2))+((0.5*(10000000-'Sheet 2. County Level Data'!$P$12))*('Formula Calculations (LOCKED)'!Q156/'Formula Calculations (LOCKED)'!$Q$2)))</f>
        <v>#DIV/0!</v>
      </c>
    </row>
    <row r="157" spans="1:14" x14ac:dyDescent="0.2">
      <c r="A157" s="7">
        <f>'Sheet 2. County Level Data'!A155</f>
        <v>0</v>
      </c>
      <c r="B157" s="29" t="e">
        <f>('Formula Calculations (LOCKED)'!C157*'Sheet 2. County Level Data'!$P$4)</f>
        <v>#DIV/0!</v>
      </c>
      <c r="C157" s="29" t="e">
        <f>'Formula Calculations (LOCKED)'!H157/'Formula Calculations (LOCKED)'!$H$2*'Sheet 2. County Level Data'!$P$4</f>
        <v>#DIV/0!</v>
      </c>
      <c r="D157" s="29" t="e">
        <f>('Formula Calculations (LOCKED)'!L157/'Formula Calculations (LOCKED)'!$L$2)*'Sheet 2. County Level Data'!$P$4</f>
        <v>#DIV/0!</v>
      </c>
      <c r="E157" s="29" t="e">
        <f>('Formula Calculations (LOCKED)'!O157/'Formula Calculations (LOCKED)'!$O$2)*'Sheet 2. County Level Data'!$P$4</f>
        <v>#DIV/0!</v>
      </c>
      <c r="F157" s="29" t="e">
        <f>('Formula Calculations (LOCKED)'!D157/'Formula Calculations (LOCKED)'!$D$2)*'Sheet 2. County Level Data'!$P$4</f>
        <v>#DIV/0!</v>
      </c>
      <c r="G157" s="29" t="e">
        <f>'Sheet 2. County Level Data'!$T$11+(0.5*10000000)*'Formula Calculations (LOCKED)'!H157/'Formula Calculations (LOCKED)'!$H$2</f>
        <v>#DIV/0!</v>
      </c>
      <c r="H157" s="29" t="e">
        <f>(0.5*10000000)*'Formula Calculations (LOCKED)'!H157/'Formula Calculations (LOCKED)'!$H$2+(0.5*10000000)*'Formula Calculations (LOCKED)'!D157/'Formula Calculations (LOCKED)'!$D$2</f>
        <v>#DIV/0!</v>
      </c>
      <c r="I157" s="7" t="e">
        <f>'Sheet 2. County Level Data'!$T$12+(0.3333333333*10000000*('Formula Calculations (LOCKED)'!H157/'Formula Calculations (LOCKED)'!$H$2))+(0.3333333333*10000000*('Formula Calculations (LOCKED)'!D157/'Formula Calculations (LOCKED)'!$D$2))</f>
        <v>#DIV/0!</v>
      </c>
      <c r="J157" s="29" t="e">
        <f>'Sheet 2. County Level Data'!$T$13+(0.25*10000000*('Formula Calculations (LOCKED)'!H157/'Formula Calculations (LOCKED)'!$H$2))+(0.25*10000000*('Formula Calculations (LOCKED)'!D157/'Formula Calculations (LOCKED)'!$D$2))+(0.25*10000000*('Formula Calculations (LOCKED)'!L157/'Formula Calculations (LOCKED)'!$L$2))</f>
        <v>#DIV/0!</v>
      </c>
      <c r="K157" s="29" t="e">
        <f>'Sheet 2. County Level Data'!$T$13+(0.25*10000000*('Formula Calculations (LOCKED)'!H157/'Formula Calculations (LOCKED)'!$H$2))+(0.25*10000000*('Formula Calculations (LOCKED)'!D157/'Formula Calculations (LOCKED)'!$D$2))+(0.25*10000000*('Formula Calculations (LOCKED)'!O157/'Formula Calculations (LOCKED)'!$O$2))</f>
        <v>#DIV/0!</v>
      </c>
      <c r="L157" s="29" t="e">
        <f>IF('Formula Calculations (LOCKED)'!$G157=1,('Sheet 2. County Level Data'!$P$12*('Formula Calculations (LOCKED)'!K157/'Formula Calculations (LOCKED)'!$K$2)),((10000000-'Sheet 2. County Level Data'!$P$12)*'Formula Calculations (LOCKED)'!J157/'Formula Calculations (LOCKED)'!$J$2))</f>
        <v>#DIV/0!</v>
      </c>
      <c r="M157" s="29" t="e">
        <f>IF('Formula Calculations (LOCKED)'!$G157=1,((0.5*'Sheet 2. County Level Data'!$P$12)*('Formula Calculations (LOCKED)'!K157/'Formula Calculations (LOCKED)'!$K$2))+((0.5*'Sheet 2. County Level Data'!$P$12)*('Formula Calculations (LOCKED)'!N157/'Formula Calculations (LOCKED)'!$N$2)),((0.5*(10000000-'Sheet 2. County Level Data'!$P$12))*('Formula Calculations (LOCKED)'!J157/'Formula Calculations (LOCKED)'!$J$2))+((0.5*(10000000-'Sheet 2. County Level Data'!$P$12))*('Formula Calculations (LOCKED)'!M157/'Formula Calculations (LOCKED)'!$M$2)))</f>
        <v>#DIV/0!</v>
      </c>
      <c r="N157" s="29" t="e">
        <f>IF('Formula Calculations (LOCKED)'!$G157=1,((0.5*'Sheet 2. County Level Data'!$P$12)*('Formula Calculations (LOCKED)'!K157/'Formula Calculations (LOCKED)'!$K$2))+((0.5*'Sheet 2. County Level Data'!$P$12)*('Formula Calculations (LOCKED)'!R157/'Formula Calculations (LOCKED)'!$R$2)),((0.5*(10000000-'Sheet 2. County Level Data'!$P$12))*('Formula Calculations (LOCKED)'!J157/'Formula Calculations (LOCKED)'!$J$2))+((0.5*(10000000-'Sheet 2. County Level Data'!$P$12))*('Formula Calculations (LOCKED)'!Q157/'Formula Calculations (LOCKED)'!$Q$2)))</f>
        <v>#DIV/0!</v>
      </c>
    </row>
    <row r="158" spans="1:14" x14ac:dyDescent="0.2">
      <c r="A158" s="7">
        <f>'Sheet 2. County Level Data'!A156</f>
        <v>0</v>
      </c>
      <c r="B158" s="29" t="e">
        <f>('Formula Calculations (LOCKED)'!C158*'Sheet 2. County Level Data'!$P$4)</f>
        <v>#DIV/0!</v>
      </c>
      <c r="C158" s="29" t="e">
        <f>'Formula Calculations (LOCKED)'!H158/'Formula Calculations (LOCKED)'!$H$2*'Sheet 2. County Level Data'!$P$4</f>
        <v>#DIV/0!</v>
      </c>
      <c r="D158" s="29" t="e">
        <f>('Formula Calculations (LOCKED)'!L158/'Formula Calculations (LOCKED)'!$L$2)*'Sheet 2. County Level Data'!$P$4</f>
        <v>#DIV/0!</v>
      </c>
      <c r="E158" s="29" t="e">
        <f>('Formula Calculations (LOCKED)'!O158/'Formula Calculations (LOCKED)'!$O$2)*'Sheet 2. County Level Data'!$P$4</f>
        <v>#DIV/0!</v>
      </c>
      <c r="F158" s="29" t="e">
        <f>('Formula Calculations (LOCKED)'!D158/'Formula Calculations (LOCKED)'!$D$2)*'Sheet 2. County Level Data'!$P$4</f>
        <v>#DIV/0!</v>
      </c>
      <c r="G158" s="29" t="e">
        <f>'Sheet 2. County Level Data'!$T$11+(0.5*10000000)*'Formula Calculations (LOCKED)'!H158/'Formula Calculations (LOCKED)'!$H$2</f>
        <v>#DIV/0!</v>
      </c>
      <c r="H158" s="29" t="e">
        <f>(0.5*10000000)*'Formula Calculations (LOCKED)'!H158/'Formula Calculations (LOCKED)'!$H$2+(0.5*10000000)*'Formula Calculations (LOCKED)'!D158/'Formula Calculations (LOCKED)'!$D$2</f>
        <v>#DIV/0!</v>
      </c>
      <c r="I158" s="7" t="e">
        <f>'Sheet 2. County Level Data'!$T$12+(0.3333333333*10000000*('Formula Calculations (LOCKED)'!H158/'Formula Calculations (LOCKED)'!$H$2))+(0.3333333333*10000000*('Formula Calculations (LOCKED)'!D158/'Formula Calculations (LOCKED)'!$D$2))</f>
        <v>#DIV/0!</v>
      </c>
      <c r="J158" s="29" t="e">
        <f>'Sheet 2. County Level Data'!$T$13+(0.25*10000000*('Formula Calculations (LOCKED)'!H158/'Formula Calculations (LOCKED)'!$H$2))+(0.25*10000000*('Formula Calculations (LOCKED)'!D158/'Formula Calculations (LOCKED)'!$D$2))+(0.25*10000000*('Formula Calculations (LOCKED)'!L158/'Formula Calculations (LOCKED)'!$L$2))</f>
        <v>#DIV/0!</v>
      </c>
      <c r="K158" s="29" t="e">
        <f>'Sheet 2. County Level Data'!$T$13+(0.25*10000000*('Formula Calculations (LOCKED)'!H158/'Formula Calculations (LOCKED)'!$H$2))+(0.25*10000000*('Formula Calculations (LOCKED)'!D158/'Formula Calculations (LOCKED)'!$D$2))+(0.25*10000000*('Formula Calculations (LOCKED)'!O158/'Formula Calculations (LOCKED)'!$O$2))</f>
        <v>#DIV/0!</v>
      </c>
      <c r="L158" s="29" t="e">
        <f>IF('Formula Calculations (LOCKED)'!$G158=1,('Sheet 2. County Level Data'!$P$12*('Formula Calculations (LOCKED)'!K158/'Formula Calculations (LOCKED)'!$K$2)),((10000000-'Sheet 2. County Level Data'!$P$12)*'Formula Calculations (LOCKED)'!J158/'Formula Calculations (LOCKED)'!$J$2))</f>
        <v>#DIV/0!</v>
      </c>
      <c r="M158" s="29" t="e">
        <f>IF('Formula Calculations (LOCKED)'!$G158=1,((0.5*'Sheet 2. County Level Data'!$P$12)*('Formula Calculations (LOCKED)'!K158/'Formula Calculations (LOCKED)'!$K$2))+((0.5*'Sheet 2. County Level Data'!$P$12)*('Formula Calculations (LOCKED)'!N158/'Formula Calculations (LOCKED)'!$N$2)),((0.5*(10000000-'Sheet 2. County Level Data'!$P$12))*('Formula Calculations (LOCKED)'!J158/'Formula Calculations (LOCKED)'!$J$2))+((0.5*(10000000-'Sheet 2. County Level Data'!$P$12))*('Formula Calculations (LOCKED)'!M158/'Formula Calculations (LOCKED)'!$M$2)))</f>
        <v>#DIV/0!</v>
      </c>
      <c r="N158" s="29" t="e">
        <f>IF('Formula Calculations (LOCKED)'!$G158=1,((0.5*'Sheet 2. County Level Data'!$P$12)*('Formula Calculations (LOCKED)'!K158/'Formula Calculations (LOCKED)'!$K$2))+((0.5*'Sheet 2. County Level Data'!$P$12)*('Formula Calculations (LOCKED)'!R158/'Formula Calculations (LOCKED)'!$R$2)),((0.5*(10000000-'Sheet 2. County Level Data'!$P$12))*('Formula Calculations (LOCKED)'!J158/'Formula Calculations (LOCKED)'!$J$2))+((0.5*(10000000-'Sheet 2. County Level Data'!$P$12))*('Formula Calculations (LOCKED)'!Q158/'Formula Calculations (LOCKED)'!$Q$2)))</f>
        <v>#DIV/0!</v>
      </c>
    </row>
    <row r="159" spans="1:14" x14ac:dyDescent="0.2">
      <c r="A159" s="7">
        <f>'Sheet 2. County Level Data'!A157</f>
        <v>0</v>
      </c>
      <c r="B159" s="29" t="e">
        <f>('Formula Calculations (LOCKED)'!C159*'Sheet 2. County Level Data'!$P$4)</f>
        <v>#DIV/0!</v>
      </c>
      <c r="C159" s="29" t="e">
        <f>'Formula Calculations (LOCKED)'!H159/'Formula Calculations (LOCKED)'!$H$2*'Sheet 2. County Level Data'!$P$4</f>
        <v>#DIV/0!</v>
      </c>
      <c r="D159" s="29" t="e">
        <f>('Formula Calculations (LOCKED)'!L159/'Formula Calculations (LOCKED)'!$L$2)*'Sheet 2. County Level Data'!$P$4</f>
        <v>#DIV/0!</v>
      </c>
      <c r="E159" s="29" t="e">
        <f>('Formula Calculations (LOCKED)'!O159/'Formula Calculations (LOCKED)'!$O$2)*'Sheet 2. County Level Data'!$P$4</f>
        <v>#DIV/0!</v>
      </c>
      <c r="F159" s="29" t="e">
        <f>('Formula Calculations (LOCKED)'!D159/'Formula Calculations (LOCKED)'!$D$2)*'Sheet 2. County Level Data'!$P$4</f>
        <v>#DIV/0!</v>
      </c>
      <c r="G159" s="29" t="e">
        <f>'Sheet 2. County Level Data'!$T$11+(0.5*10000000)*'Formula Calculations (LOCKED)'!H159/'Formula Calculations (LOCKED)'!$H$2</f>
        <v>#DIV/0!</v>
      </c>
      <c r="H159" s="29" t="e">
        <f>(0.5*10000000)*'Formula Calculations (LOCKED)'!H159/'Formula Calculations (LOCKED)'!$H$2+(0.5*10000000)*'Formula Calculations (LOCKED)'!D159/'Formula Calculations (LOCKED)'!$D$2</f>
        <v>#DIV/0!</v>
      </c>
      <c r="I159" s="7" t="e">
        <f>'Sheet 2. County Level Data'!$T$12+(0.3333333333*10000000*('Formula Calculations (LOCKED)'!H159/'Formula Calculations (LOCKED)'!$H$2))+(0.3333333333*10000000*('Formula Calculations (LOCKED)'!D159/'Formula Calculations (LOCKED)'!$D$2))</f>
        <v>#DIV/0!</v>
      </c>
      <c r="J159" s="29" t="e">
        <f>'Sheet 2. County Level Data'!$T$13+(0.25*10000000*('Formula Calculations (LOCKED)'!H159/'Formula Calculations (LOCKED)'!$H$2))+(0.25*10000000*('Formula Calculations (LOCKED)'!D159/'Formula Calculations (LOCKED)'!$D$2))+(0.25*10000000*('Formula Calculations (LOCKED)'!L159/'Formula Calculations (LOCKED)'!$L$2))</f>
        <v>#DIV/0!</v>
      </c>
      <c r="K159" s="29" t="e">
        <f>'Sheet 2. County Level Data'!$T$13+(0.25*10000000*('Formula Calculations (LOCKED)'!H159/'Formula Calculations (LOCKED)'!$H$2))+(0.25*10000000*('Formula Calculations (LOCKED)'!D159/'Formula Calculations (LOCKED)'!$D$2))+(0.25*10000000*('Formula Calculations (LOCKED)'!O159/'Formula Calculations (LOCKED)'!$O$2))</f>
        <v>#DIV/0!</v>
      </c>
      <c r="L159" s="29" t="e">
        <f>IF('Formula Calculations (LOCKED)'!$G159=1,('Sheet 2. County Level Data'!$P$12*('Formula Calculations (LOCKED)'!K159/'Formula Calculations (LOCKED)'!$K$2)),((10000000-'Sheet 2. County Level Data'!$P$12)*'Formula Calculations (LOCKED)'!J159/'Formula Calculations (LOCKED)'!$J$2))</f>
        <v>#DIV/0!</v>
      </c>
      <c r="M159" s="29" t="e">
        <f>IF('Formula Calculations (LOCKED)'!$G159=1,((0.5*'Sheet 2. County Level Data'!$P$12)*('Formula Calculations (LOCKED)'!K159/'Formula Calculations (LOCKED)'!$K$2))+((0.5*'Sheet 2. County Level Data'!$P$12)*('Formula Calculations (LOCKED)'!N159/'Formula Calculations (LOCKED)'!$N$2)),((0.5*(10000000-'Sheet 2. County Level Data'!$P$12))*('Formula Calculations (LOCKED)'!J159/'Formula Calculations (LOCKED)'!$J$2))+((0.5*(10000000-'Sheet 2. County Level Data'!$P$12))*('Formula Calculations (LOCKED)'!M159/'Formula Calculations (LOCKED)'!$M$2)))</f>
        <v>#DIV/0!</v>
      </c>
      <c r="N159" s="29" t="e">
        <f>IF('Formula Calculations (LOCKED)'!$G159=1,((0.5*'Sheet 2. County Level Data'!$P$12)*('Formula Calculations (LOCKED)'!K159/'Formula Calculations (LOCKED)'!$K$2))+((0.5*'Sheet 2. County Level Data'!$P$12)*('Formula Calculations (LOCKED)'!R159/'Formula Calculations (LOCKED)'!$R$2)),((0.5*(10000000-'Sheet 2. County Level Data'!$P$12))*('Formula Calculations (LOCKED)'!J159/'Formula Calculations (LOCKED)'!$J$2))+((0.5*(10000000-'Sheet 2. County Level Data'!$P$12))*('Formula Calculations (LOCKED)'!Q159/'Formula Calculations (LOCKED)'!$Q$2)))</f>
        <v>#DIV/0!</v>
      </c>
    </row>
    <row r="160" spans="1:14" x14ac:dyDescent="0.2">
      <c r="A160" s="7">
        <f>'Sheet 2. County Level Data'!A158</f>
        <v>0</v>
      </c>
      <c r="B160" s="29" t="e">
        <f>('Formula Calculations (LOCKED)'!C160*'Sheet 2. County Level Data'!$P$4)</f>
        <v>#DIV/0!</v>
      </c>
      <c r="C160" s="29" t="e">
        <f>'Formula Calculations (LOCKED)'!H160/'Formula Calculations (LOCKED)'!$H$2*'Sheet 2. County Level Data'!$P$4</f>
        <v>#DIV/0!</v>
      </c>
      <c r="D160" s="29" t="e">
        <f>('Formula Calculations (LOCKED)'!L160/'Formula Calculations (LOCKED)'!$L$2)*'Sheet 2. County Level Data'!$P$4</f>
        <v>#DIV/0!</v>
      </c>
      <c r="E160" s="29" t="e">
        <f>('Formula Calculations (LOCKED)'!O160/'Formula Calculations (LOCKED)'!$O$2)*'Sheet 2. County Level Data'!$P$4</f>
        <v>#DIV/0!</v>
      </c>
      <c r="F160" s="29" t="e">
        <f>('Formula Calculations (LOCKED)'!D160/'Formula Calculations (LOCKED)'!$D$2)*'Sheet 2. County Level Data'!$P$4</f>
        <v>#DIV/0!</v>
      </c>
      <c r="G160" s="29" t="e">
        <f>'Sheet 2. County Level Data'!$T$11+(0.5*10000000)*'Formula Calculations (LOCKED)'!H160/'Formula Calculations (LOCKED)'!$H$2</f>
        <v>#DIV/0!</v>
      </c>
      <c r="H160" s="29" t="e">
        <f>(0.5*10000000)*'Formula Calculations (LOCKED)'!H160/'Formula Calculations (LOCKED)'!$H$2+(0.5*10000000)*'Formula Calculations (LOCKED)'!D160/'Formula Calculations (LOCKED)'!$D$2</f>
        <v>#DIV/0!</v>
      </c>
      <c r="I160" s="7" t="e">
        <f>'Sheet 2. County Level Data'!$T$12+(0.3333333333*10000000*('Formula Calculations (LOCKED)'!H160/'Formula Calculations (LOCKED)'!$H$2))+(0.3333333333*10000000*('Formula Calculations (LOCKED)'!D160/'Formula Calculations (LOCKED)'!$D$2))</f>
        <v>#DIV/0!</v>
      </c>
      <c r="J160" s="29" t="e">
        <f>'Sheet 2. County Level Data'!$T$13+(0.25*10000000*('Formula Calculations (LOCKED)'!H160/'Formula Calculations (LOCKED)'!$H$2))+(0.25*10000000*('Formula Calculations (LOCKED)'!D160/'Formula Calculations (LOCKED)'!$D$2))+(0.25*10000000*('Formula Calculations (LOCKED)'!L160/'Formula Calculations (LOCKED)'!$L$2))</f>
        <v>#DIV/0!</v>
      </c>
      <c r="K160" s="29" t="e">
        <f>'Sheet 2. County Level Data'!$T$13+(0.25*10000000*('Formula Calculations (LOCKED)'!H160/'Formula Calculations (LOCKED)'!$H$2))+(0.25*10000000*('Formula Calculations (LOCKED)'!D160/'Formula Calculations (LOCKED)'!$D$2))+(0.25*10000000*('Formula Calculations (LOCKED)'!O160/'Formula Calculations (LOCKED)'!$O$2))</f>
        <v>#DIV/0!</v>
      </c>
      <c r="L160" s="29" t="e">
        <f>IF('Formula Calculations (LOCKED)'!$G160=1,('Sheet 2. County Level Data'!$P$12*('Formula Calculations (LOCKED)'!K160/'Formula Calculations (LOCKED)'!$K$2)),((10000000-'Sheet 2. County Level Data'!$P$12)*'Formula Calculations (LOCKED)'!J160/'Formula Calculations (LOCKED)'!$J$2))</f>
        <v>#DIV/0!</v>
      </c>
      <c r="M160" s="29" t="e">
        <f>IF('Formula Calculations (LOCKED)'!$G160=1,((0.5*'Sheet 2. County Level Data'!$P$12)*('Formula Calculations (LOCKED)'!K160/'Formula Calculations (LOCKED)'!$K$2))+((0.5*'Sheet 2. County Level Data'!$P$12)*('Formula Calculations (LOCKED)'!N160/'Formula Calculations (LOCKED)'!$N$2)),((0.5*(10000000-'Sheet 2. County Level Data'!$P$12))*('Formula Calculations (LOCKED)'!J160/'Formula Calculations (LOCKED)'!$J$2))+((0.5*(10000000-'Sheet 2. County Level Data'!$P$12))*('Formula Calculations (LOCKED)'!M160/'Formula Calculations (LOCKED)'!$M$2)))</f>
        <v>#DIV/0!</v>
      </c>
      <c r="N160" s="29" t="e">
        <f>IF('Formula Calculations (LOCKED)'!$G160=1,((0.5*'Sheet 2. County Level Data'!$P$12)*('Formula Calculations (LOCKED)'!K160/'Formula Calculations (LOCKED)'!$K$2))+((0.5*'Sheet 2. County Level Data'!$P$12)*('Formula Calculations (LOCKED)'!R160/'Formula Calculations (LOCKED)'!$R$2)),((0.5*(10000000-'Sheet 2. County Level Data'!$P$12))*('Formula Calculations (LOCKED)'!J160/'Formula Calculations (LOCKED)'!$J$2))+((0.5*(10000000-'Sheet 2. County Level Data'!$P$12))*('Formula Calculations (LOCKED)'!Q160/'Formula Calculations (LOCKED)'!$Q$2)))</f>
        <v>#DIV/0!</v>
      </c>
    </row>
    <row r="161" spans="1:14" x14ac:dyDescent="0.2">
      <c r="A161" s="7">
        <f>'Sheet 2. County Level Data'!A159</f>
        <v>0</v>
      </c>
      <c r="B161" s="29" t="e">
        <f>('Formula Calculations (LOCKED)'!C161*'Sheet 2. County Level Data'!$P$4)</f>
        <v>#DIV/0!</v>
      </c>
      <c r="C161" s="29" t="e">
        <f>'Formula Calculations (LOCKED)'!H161/'Formula Calculations (LOCKED)'!$H$2*'Sheet 2. County Level Data'!$P$4</f>
        <v>#DIV/0!</v>
      </c>
      <c r="D161" s="29" t="e">
        <f>('Formula Calculations (LOCKED)'!L161/'Formula Calculations (LOCKED)'!$L$2)*'Sheet 2. County Level Data'!$P$4</f>
        <v>#DIV/0!</v>
      </c>
      <c r="E161" s="29" t="e">
        <f>('Formula Calculations (LOCKED)'!O161/'Formula Calculations (LOCKED)'!$O$2)*'Sheet 2. County Level Data'!$P$4</f>
        <v>#DIV/0!</v>
      </c>
      <c r="F161" s="29" t="e">
        <f>('Formula Calculations (LOCKED)'!D161/'Formula Calculations (LOCKED)'!$D$2)*'Sheet 2. County Level Data'!$P$4</f>
        <v>#DIV/0!</v>
      </c>
      <c r="G161" s="29" t="e">
        <f>'Sheet 2. County Level Data'!$T$11+(0.5*10000000)*'Formula Calculations (LOCKED)'!H161/'Formula Calculations (LOCKED)'!$H$2</f>
        <v>#DIV/0!</v>
      </c>
      <c r="H161" s="29" t="e">
        <f>(0.5*10000000)*'Formula Calculations (LOCKED)'!H161/'Formula Calculations (LOCKED)'!$H$2+(0.5*10000000)*'Formula Calculations (LOCKED)'!D161/'Formula Calculations (LOCKED)'!$D$2</f>
        <v>#DIV/0!</v>
      </c>
      <c r="I161" s="7" t="e">
        <f>'Sheet 2. County Level Data'!$T$12+(0.3333333333*10000000*('Formula Calculations (LOCKED)'!H161/'Formula Calculations (LOCKED)'!$H$2))+(0.3333333333*10000000*('Formula Calculations (LOCKED)'!D161/'Formula Calculations (LOCKED)'!$D$2))</f>
        <v>#DIV/0!</v>
      </c>
      <c r="J161" s="29" t="e">
        <f>'Sheet 2. County Level Data'!$T$13+(0.25*10000000*('Formula Calculations (LOCKED)'!H161/'Formula Calculations (LOCKED)'!$H$2))+(0.25*10000000*('Formula Calculations (LOCKED)'!D161/'Formula Calculations (LOCKED)'!$D$2))+(0.25*10000000*('Formula Calculations (LOCKED)'!L161/'Formula Calculations (LOCKED)'!$L$2))</f>
        <v>#DIV/0!</v>
      </c>
      <c r="K161" s="29" t="e">
        <f>'Sheet 2. County Level Data'!$T$13+(0.25*10000000*('Formula Calculations (LOCKED)'!H161/'Formula Calculations (LOCKED)'!$H$2))+(0.25*10000000*('Formula Calculations (LOCKED)'!D161/'Formula Calculations (LOCKED)'!$D$2))+(0.25*10000000*('Formula Calculations (LOCKED)'!O161/'Formula Calculations (LOCKED)'!$O$2))</f>
        <v>#DIV/0!</v>
      </c>
      <c r="L161" s="29" t="e">
        <f>IF('Formula Calculations (LOCKED)'!$G161=1,('Sheet 2. County Level Data'!$P$12*('Formula Calculations (LOCKED)'!K161/'Formula Calculations (LOCKED)'!$K$2)),((10000000-'Sheet 2. County Level Data'!$P$12)*'Formula Calculations (LOCKED)'!J161/'Formula Calculations (LOCKED)'!$J$2))</f>
        <v>#DIV/0!</v>
      </c>
      <c r="M161" s="29" t="e">
        <f>IF('Formula Calculations (LOCKED)'!$G161=1,((0.5*'Sheet 2. County Level Data'!$P$12)*('Formula Calculations (LOCKED)'!K161/'Formula Calculations (LOCKED)'!$K$2))+((0.5*'Sheet 2. County Level Data'!$P$12)*('Formula Calculations (LOCKED)'!N161/'Formula Calculations (LOCKED)'!$N$2)),((0.5*(10000000-'Sheet 2. County Level Data'!$P$12))*('Formula Calculations (LOCKED)'!J161/'Formula Calculations (LOCKED)'!$J$2))+((0.5*(10000000-'Sheet 2. County Level Data'!$P$12))*('Formula Calculations (LOCKED)'!M161/'Formula Calculations (LOCKED)'!$M$2)))</f>
        <v>#DIV/0!</v>
      </c>
      <c r="N161" s="29" t="e">
        <f>IF('Formula Calculations (LOCKED)'!$G161=1,((0.5*'Sheet 2. County Level Data'!$P$12)*('Formula Calculations (LOCKED)'!K161/'Formula Calculations (LOCKED)'!$K$2))+((0.5*'Sheet 2. County Level Data'!$P$12)*('Formula Calculations (LOCKED)'!R161/'Formula Calculations (LOCKED)'!$R$2)),((0.5*(10000000-'Sheet 2. County Level Data'!$P$12))*('Formula Calculations (LOCKED)'!J161/'Formula Calculations (LOCKED)'!$J$2))+((0.5*(10000000-'Sheet 2. County Level Data'!$P$12))*('Formula Calculations (LOCKED)'!Q161/'Formula Calculations (LOCKED)'!$Q$2)))</f>
        <v>#DIV/0!</v>
      </c>
    </row>
    <row r="162" spans="1:14" x14ac:dyDescent="0.2">
      <c r="A162" s="7">
        <f>'Sheet 2. County Level Data'!A160</f>
        <v>0</v>
      </c>
      <c r="B162" s="29" t="e">
        <f>('Formula Calculations (LOCKED)'!C162*'Sheet 2. County Level Data'!$P$4)</f>
        <v>#DIV/0!</v>
      </c>
      <c r="C162" s="29" t="e">
        <f>'Formula Calculations (LOCKED)'!H162/'Formula Calculations (LOCKED)'!$H$2*'Sheet 2. County Level Data'!$P$4</f>
        <v>#DIV/0!</v>
      </c>
      <c r="D162" s="29" t="e">
        <f>('Formula Calculations (LOCKED)'!L162/'Formula Calculations (LOCKED)'!$L$2)*'Sheet 2. County Level Data'!$P$4</f>
        <v>#DIV/0!</v>
      </c>
      <c r="E162" s="29" t="e">
        <f>('Formula Calculations (LOCKED)'!O162/'Formula Calculations (LOCKED)'!$O$2)*'Sheet 2. County Level Data'!$P$4</f>
        <v>#DIV/0!</v>
      </c>
      <c r="F162" s="29" t="e">
        <f>('Formula Calculations (LOCKED)'!D162/'Formula Calculations (LOCKED)'!$D$2)*'Sheet 2. County Level Data'!$P$4</f>
        <v>#DIV/0!</v>
      </c>
      <c r="G162" s="29" t="e">
        <f>'Sheet 2. County Level Data'!$T$11+(0.5*10000000)*'Formula Calculations (LOCKED)'!H162/'Formula Calculations (LOCKED)'!$H$2</f>
        <v>#DIV/0!</v>
      </c>
      <c r="H162" s="29" t="e">
        <f>(0.5*10000000)*'Formula Calculations (LOCKED)'!H162/'Formula Calculations (LOCKED)'!$H$2+(0.5*10000000)*'Formula Calculations (LOCKED)'!D162/'Formula Calculations (LOCKED)'!$D$2</f>
        <v>#DIV/0!</v>
      </c>
      <c r="I162" s="7" t="e">
        <f>'Sheet 2. County Level Data'!$T$12+(0.3333333333*10000000*('Formula Calculations (LOCKED)'!H162/'Formula Calculations (LOCKED)'!$H$2))+(0.3333333333*10000000*('Formula Calculations (LOCKED)'!D162/'Formula Calculations (LOCKED)'!$D$2))</f>
        <v>#DIV/0!</v>
      </c>
      <c r="J162" s="29" t="e">
        <f>'Sheet 2. County Level Data'!$T$13+(0.25*10000000*('Formula Calculations (LOCKED)'!H162/'Formula Calculations (LOCKED)'!$H$2))+(0.25*10000000*('Formula Calculations (LOCKED)'!D162/'Formula Calculations (LOCKED)'!$D$2))+(0.25*10000000*('Formula Calculations (LOCKED)'!L162/'Formula Calculations (LOCKED)'!$L$2))</f>
        <v>#DIV/0!</v>
      </c>
      <c r="K162" s="29" t="e">
        <f>'Sheet 2. County Level Data'!$T$13+(0.25*10000000*('Formula Calculations (LOCKED)'!H162/'Formula Calculations (LOCKED)'!$H$2))+(0.25*10000000*('Formula Calculations (LOCKED)'!D162/'Formula Calculations (LOCKED)'!$D$2))+(0.25*10000000*('Formula Calculations (LOCKED)'!O162/'Formula Calculations (LOCKED)'!$O$2))</f>
        <v>#DIV/0!</v>
      </c>
      <c r="L162" s="29" t="e">
        <f>IF('Formula Calculations (LOCKED)'!$G162=1,('Sheet 2. County Level Data'!$P$12*('Formula Calculations (LOCKED)'!K162/'Formula Calculations (LOCKED)'!$K$2)),((10000000-'Sheet 2. County Level Data'!$P$12)*'Formula Calculations (LOCKED)'!J162/'Formula Calculations (LOCKED)'!$J$2))</f>
        <v>#DIV/0!</v>
      </c>
      <c r="M162" s="29" t="e">
        <f>IF('Formula Calculations (LOCKED)'!$G162=1,((0.5*'Sheet 2. County Level Data'!$P$12)*('Formula Calculations (LOCKED)'!K162/'Formula Calculations (LOCKED)'!$K$2))+((0.5*'Sheet 2. County Level Data'!$P$12)*('Formula Calculations (LOCKED)'!N162/'Formula Calculations (LOCKED)'!$N$2)),((0.5*(10000000-'Sheet 2. County Level Data'!$P$12))*('Formula Calculations (LOCKED)'!J162/'Formula Calculations (LOCKED)'!$J$2))+((0.5*(10000000-'Sheet 2. County Level Data'!$P$12))*('Formula Calculations (LOCKED)'!M162/'Formula Calculations (LOCKED)'!$M$2)))</f>
        <v>#DIV/0!</v>
      </c>
      <c r="N162" s="29" t="e">
        <f>IF('Formula Calculations (LOCKED)'!$G162=1,((0.5*'Sheet 2. County Level Data'!$P$12)*('Formula Calculations (LOCKED)'!K162/'Formula Calculations (LOCKED)'!$K$2))+((0.5*'Sheet 2. County Level Data'!$P$12)*('Formula Calculations (LOCKED)'!R162/'Formula Calculations (LOCKED)'!$R$2)),((0.5*(10000000-'Sheet 2. County Level Data'!$P$12))*('Formula Calculations (LOCKED)'!J162/'Formula Calculations (LOCKED)'!$J$2))+((0.5*(10000000-'Sheet 2. County Level Data'!$P$12))*('Formula Calculations (LOCKED)'!Q162/'Formula Calculations (LOCKED)'!$Q$2)))</f>
        <v>#DIV/0!</v>
      </c>
    </row>
    <row r="163" spans="1:14" x14ac:dyDescent="0.2">
      <c r="A163" s="7"/>
      <c r="B163" s="29">
        <f>('Formula Calculations (LOCKED)'!C163*'Sheet 2. County Level Data'!$P$4)</f>
        <v>0</v>
      </c>
      <c r="C163" s="29" t="e">
        <f>'Formula Calculations (LOCKED)'!H163/'Formula Calculations (LOCKED)'!$H$2*'Sheet 2. County Level Data'!$P$4</f>
        <v>#DIV/0!</v>
      </c>
      <c r="D163" s="29" t="e">
        <f>('Formula Calculations (LOCKED)'!L163/'Formula Calculations (LOCKED)'!$L$2)*'Sheet 2. County Level Data'!$P$4</f>
        <v>#DIV/0!</v>
      </c>
      <c r="E163" s="29" t="e">
        <f>('Formula Calculations (LOCKED)'!O163/'Formula Calculations (LOCKED)'!$O$2)*'Sheet 2. County Level Data'!$P$4</f>
        <v>#DIV/0!</v>
      </c>
      <c r="F163" s="29" t="e">
        <f>('Formula Calculations (LOCKED)'!D163/'Formula Calculations (LOCKED)'!$D$2)*'Sheet 2. County Level Data'!$P$4</f>
        <v>#DIV/0!</v>
      </c>
      <c r="G163" s="29"/>
      <c r="H163" s="29"/>
      <c r="I163" s="7"/>
      <c r="J163" s="29"/>
      <c r="K163" s="29"/>
      <c r="L163" s="29" t="e">
        <f>IF('Formula Calculations (LOCKED)'!$G163=1,('Sheet 2. County Level Data'!$P$12*('Formula Calculations (LOCKED)'!K163/'Formula Calculations (LOCKED)'!$K$2)),((10000000-'Sheet 2. County Level Data'!$P$12)*'Formula Calculations (LOCKED)'!J163/'Formula Calculations (LOCKED)'!$J$2))</f>
        <v>#DIV/0!</v>
      </c>
      <c r="M163" s="29" t="e">
        <f>IF('Formula Calculations (LOCKED)'!$G163=1,((0.5*'Sheet 2. County Level Data'!$P$12)*('Formula Calculations (LOCKED)'!K163/'Formula Calculations (LOCKED)'!$K$2))+((0.5*'Sheet 2. County Level Data'!$P$12)*('Formula Calculations (LOCKED)'!N163/'Formula Calculations (LOCKED)'!$N$2)),((0.5*(10000000-'Sheet 2. County Level Data'!$P$12))*('Formula Calculations (LOCKED)'!J163/'Formula Calculations (LOCKED)'!$J$2))+((0.5*(10000000-'Sheet 2. County Level Data'!$P$12))*('Formula Calculations (LOCKED)'!M163/'Formula Calculations (LOCKED)'!$M$2)))</f>
        <v>#DIV/0!</v>
      </c>
      <c r="N163" s="7"/>
    </row>
    <row r="164" spans="1:14" x14ac:dyDescent="0.2">
      <c r="A164" s="7"/>
      <c r="B164" s="29">
        <f>('Formula Calculations (LOCKED)'!C164*'Sheet 2. County Level Data'!$P$4)</f>
        <v>0</v>
      </c>
      <c r="C164" s="29" t="e">
        <f>'Formula Calculations (LOCKED)'!H164/'Formula Calculations (LOCKED)'!$H$2*'Sheet 2. County Level Data'!$P$4</f>
        <v>#DIV/0!</v>
      </c>
      <c r="D164" s="29" t="e">
        <f>('Formula Calculations (LOCKED)'!L164/'Formula Calculations (LOCKED)'!$L$2)*'Sheet 2. County Level Data'!$P$4</f>
        <v>#DIV/0!</v>
      </c>
      <c r="E164" s="29" t="e">
        <f>('Formula Calculations (LOCKED)'!O164/'Formula Calculations (LOCKED)'!$O$2)*'Sheet 2. County Level Data'!$P$4</f>
        <v>#DIV/0!</v>
      </c>
      <c r="F164" s="29" t="e">
        <f>('Formula Calculations (LOCKED)'!D164/'Formula Calculations (LOCKED)'!$D$2)*'Sheet 2. County Level Data'!$P$4</f>
        <v>#DIV/0!</v>
      </c>
      <c r="G164" s="29"/>
      <c r="H164" s="29"/>
      <c r="I164" s="7"/>
      <c r="J164" s="29"/>
      <c r="K164" s="29"/>
      <c r="L164" s="29" t="e">
        <f>IF('Formula Calculations (LOCKED)'!$G164=1,('Sheet 2. County Level Data'!$P$12*('Formula Calculations (LOCKED)'!K164/'Formula Calculations (LOCKED)'!$K$2)),((10000000-'Sheet 2. County Level Data'!$P$12)*'Formula Calculations (LOCKED)'!J164/'Formula Calculations (LOCKED)'!$J$2))</f>
        <v>#DIV/0!</v>
      </c>
      <c r="M164" s="29" t="e">
        <f>IF('Formula Calculations (LOCKED)'!$G164=1,((0.5*'Sheet 2. County Level Data'!$P$12)*('Formula Calculations (LOCKED)'!K164/'Formula Calculations (LOCKED)'!$K$2))+((0.5*'Sheet 2. County Level Data'!$P$12)*('Formula Calculations (LOCKED)'!N164/'Formula Calculations (LOCKED)'!$N$2)),((0.5*(10000000-'Sheet 2. County Level Data'!$P$12))*('Formula Calculations (LOCKED)'!J164/'Formula Calculations (LOCKED)'!$J$2))+((0.5*(10000000-'Sheet 2. County Level Data'!$P$12))*('Formula Calculations (LOCKED)'!M164/'Formula Calculations (LOCKED)'!$M$2)))</f>
        <v>#DIV/0!</v>
      </c>
      <c r="N164" s="7"/>
    </row>
    <row r="165" spans="1:14" x14ac:dyDescent="0.2">
      <c r="A165" s="7"/>
      <c r="B165" s="29">
        <f>('Formula Calculations (LOCKED)'!C165*'Sheet 2. County Level Data'!$P$4)</f>
        <v>0</v>
      </c>
      <c r="C165" s="29" t="e">
        <f>'Formula Calculations (LOCKED)'!H165/'Formula Calculations (LOCKED)'!$H$2*'Sheet 2. County Level Data'!$P$4</f>
        <v>#DIV/0!</v>
      </c>
      <c r="D165" s="29" t="e">
        <f>('Formula Calculations (LOCKED)'!L165/'Formula Calculations (LOCKED)'!$L$2)*'Sheet 2. County Level Data'!$P$4</f>
        <v>#DIV/0!</v>
      </c>
      <c r="E165" s="29" t="e">
        <f>('Formula Calculations (LOCKED)'!O165/'Formula Calculations (LOCKED)'!$O$2)*'Sheet 2. County Level Data'!$P$4</f>
        <v>#DIV/0!</v>
      </c>
      <c r="F165" s="29" t="e">
        <f>('Formula Calculations (LOCKED)'!D165/'Formula Calculations (LOCKED)'!$D$2)*'Sheet 2. County Level Data'!$P$4</f>
        <v>#DIV/0!</v>
      </c>
      <c r="G165" s="29"/>
      <c r="H165" s="29"/>
      <c r="I165" s="7"/>
      <c r="J165" s="29"/>
      <c r="K165" s="29"/>
      <c r="L165" s="29" t="e">
        <f>IF('Formula Calculations (LOCKED)'!$G165=1,('Sheet 2. County Level Data'!$P$12*('Formula Calculations (LOCKED)'!K165/'Formula Calculations (LOCKED)'!$K$2)),((10000000-'Sheet 2. County Level Data'!$P$12)*'Formula Calculations (LOCKED)'!J165/'Formula Calculations (LOCKED)'!$J$2))</f>
        <v>#DIV/0!</v>
      </c>
      <c r="M165" s="29" t="e">
        <f>IF('Formula Calculations (LOCKED)'!$G165=1,((0.5*'Sheet 2. County Level Data'!$P$12)*('Formula Calculations (LOCKED)'!K165/'Formula Calculations (LOCKED)'!$K$2))+((0.5*'Sheet 2. County Level Data'!$P$12)*('Formula Calculations (LOCKED)'!N165/'Formula Calculations (LOCKED)'!$N$2)),((0.5*(10000000-'Sheet 2. County Level Data'!$P$12))*('Formula Calculations (LOCKED)'!J165/'Formula Calculations (LOCKED)'!$J$2))+((0.5*(10000000-'Sheet 2. County Level Data'!$P$12))*('Formula Calculations (LOCKED)'!M165/'Formula Calculations (LOCKED)'!$M$2)))</f>
        <v>#DIV/0!</v>
      </c>
      <c r="N165" s="7"/>
    </row>
    <row r="166" spans="1:14" x14ac:dyDescent="0.2">
      <c r="A166" s="7"/>
      <c r="B166" s="29">
        <f>('Formula Calculations (LOCKED)'!C166*'Sheet 2. County Level Data'!$P$4)</f>
        <v>0</v>
      </c>
      <c r="C166" s="29" t="e">
        <f>'Formula Calculations (LOCKED)'!H166/'Formula Calculations (LOCKED)'!$H$2*'Sheet 2. County Level Data'!$P$4</f>
        <v>#DIV/0!</v>
      </c>
      <c r="D166" s="29" t="e">
        <f>('Formula Calculations (LOCKED)'!L166/'Formula Calculations (LOCKED)'!$L$2)*'Sheet 2. County Level Data'!$P$4</f>
        <v>#DIV/0!</v>
      </c>
      <c r="E166" s="29" t="e">
        <f>('Formula Calculations (LOCKED)'!O166/'Formula Calculations (LOCKED)'!$O$2)*'Sheet 2. County Level Data'!$P$4</f>
        <v>#DIV/0!</v>
      </c>
      <c r="F166" s="29" t="e">
        <f>('Formula Calculations (LOCKED)'!D166/'Formula Calculations (LOCKED)'!$D$2)*'Sheet 2. County Level Data'!$P$4</f>
        <v>#DIV/0!</v>
      </c>
      <c r="G166" s="29"/>
      <c r="H166" s="29"/>
      <c r="I166" s="7"/>
      <c r="J166" s="29"/>
      <c r="K166" s="29"/>
      <c r="L166" s="29" t="e">
        <f>IF('Formula Calculations (LOCKED)'!$G166=1,('Sheet 2. County Level Data'!$P$12*('Formula Calculations (LOCKED)'!K166/'Formula Calculations (LOCKED)'!$K$2)),((10000000-'Sheet 2. County Level Data'!$P$12)*'Formula Calculations (LOCKED)'!J166/'Formula Calculations (LOCKED)'!$J$2))</f>
        <v>#DIV/0!</v>
      </c>
      <c r="M166" s="29" t="e">
        <f>IF('Formula Calculations (LOCKED)'!$G166=1,((0.5*'Sheet 2. County Level Data'!$P$12)*('Formula Calculations (LOCKED)'!K166/'Formula Calculations (LOCKED)'!$K$2))+((0.5*'Sheet 2. County Level Data'!$P$12)*('Formula Calculations (LOCKED)'!N166/'Formula Calculations (LOCKED)'!$N$2)),((0.5*(10000000-'Sheet 2. County Level Data'!$P$12))*('Formula Calculations (LOCKED)'!J166/'Formula Calculations (LOCKED)'!$J$2))+((0.5*(10000000-'Sheet 2. County Level Data'!$P$12))*('Formula Calculations (LOCKED)'!M166/'Formula Calculations (LOCKED)'!$M$2)))</f>
        <v>#DIV/0!</v>
      </c>
      <c r="N166" s="7"/>
    </row>
    <row r="167" spans="1:14" x14ac:dyDescent="0.2">
      <c r="A167" s="7"/>
      <c r="B167" s="29">
        <f>('Formula Calculations (LOCKED)'!C167*'Sheet 2. County Level Data'!$P$4)</f>
        <v>0</v>
      </c>
      <c r="C167" s="29" t="e">
        <f>'Formula Calculations (LOCKED)'!H167/'Formula Calculations (LOCKED)'!$H$2*'Sheet 2. County Level Data'!$P$4</f>
        <v>#DIV/0!</v>
      </c>
      <c r="D167" s="29" t="e">
        <f>('Formula Calculations (LOCKED)'!L167/'Formula Calculations (LOCKED)'!$L$2)*'Sheet 2. County Level Data'!$P$4</f>
        <v>#DIV/0!</v>
      </c>
      <c r="E167" s="29" t="e">
        <f>('Formula Calculations (LOCKED)'!O167/'Formula Calculations (LOCKED)'!$O$2)*'Sheet 2. County Level Data'!$P$4</f>
        <v>#DIV/0!</v>
      </c>
      <c r="F167" s="29" t="e">
        <f>('Formula Calculations (LOCKED)'!D167/'Formula Calculations (LOCKED)'!$D$2)*'Sheet 2. County Level Data'!$P$4</f>
        <v>#DIV/0!</v>
      </c>
      <c r="G167" s="29"/>
      <c r="H167" s="29"/>
      <c r="I167" s="7"/>
      <c r="J167" s="29"/>
      <c r="K167" s="29"/>
      <c r="L167" s="29" t="e">
        <f>IF('Formula Calculations (LOCKED)'!$G167=1,('Sheet 2. County Level Data'!$P$12*('Formula Calculations (LOCKED)'!K167/'Formula Calculations (LOCKED)'!$K$2)),((10000000-'Sheet 2. County Level Data'!$P$12)*'Formula Calculations (LOCKED)'!J167/'Formula Calculations (LOCKED)'!$J$2))</f>
        <v>#DIV/0!</v>
      </c>
      <c r="M167" s="29" t="e">
        <f>IF('Formula Calculations (LOCKED)'!$G167=1,((0.5*'Sheet 2. County Level Data'!$P$12)*('Formula Calculations (LOCKED)'!K167/'Formula Calculations (LOCKED)'!$K$2))+((0.5*'Sheet 2. County Level Data'!$P$12)*('Formula Calculations (LOCKED)'!N167/'Formula Calculations (LOCKED)'!$N$2)),((0.5*(10000000-'Sheet 2. County Level Data'!$P$12))*('Formula Calculations (LOCKED)'!J167/'Formula Calculations (LOCKED)'!$J$2))+((0.5*(10000000-'Sheet 2. County Level Data'!$P$12))*('Formula Calculations (LOCKED)'!M167/'Formula Calculations (LOCKED)'!$M$2)))</f>
        <v>#DIV/0!</v>
      </c>
      <c r="N167" s="7"/>
    </row>
    <row r="168" spans="1:14" x14ac:dyDescent="0.2">
      <c r="A168" s="7"/>
      <c r="B168" s="29">
        <f>('Formula Calculations (LOCKED)'!C168*'Sheet 2. County Level Data'!$P$4)</f>
        <v>0</v>
      </c>
      <c r="C168" s="29" t="e">
        <f>'Formula Calculations (LOCKED)'!H168/'Formula Calculations (LOCKED)'!$H$2*'Sheet 2. County Level Data'!$P$4</f>
        <v>#DIV/0!</v>
      </c>
      <c r="D168" s="29" t="e">
        <f>('Formula Calculations (LOCKED)'!L168/'Formula Calculations (LOCKED)'!$L$2)*'Sheet 2. County Level Data'!$P$4</f>
        <v>#DIV/0!</v>
      </c>
      <c r="E168" s="29" t="e">
        <f>('Formula Calculations (LOCKED)'!O168/'Formula Calculations (LOCKED)'!$O$2)*'Sheet 2. County Level Data'!$P$4</f>
        <v>#DIV/0!</v>
      </c>
      <c r="F168" s="29" t="e">
        <f>('Formula Calculations (LOCKED)'!D168/'Formula Calculations (LOCKED)'!$D$2)*'Sheet 2. County Level Data'!$P$4</f>
        <v>#DIV/0!</v>
      </c>
      <c r="G168" s="29"/>
      <c r="H168" s="29"/>
      <c r="I168" s="7"/>
      <c r="J168" s="29"/>
      <c r="K168" s="29"/>
      <c r="L168" s="29" t="e">
        <f>IF('Formula Calculations (LOCKED)'!$G168=1,('Sheet 2. County Level Data'!$P$12*('Formula Calculations (LOCKED)'!K168/'Formula Calculations (LOCKED)'!$K$2)),((10000000-'Sheet 2. County Level Data'!$P$12)*'Formula Calculations (LOCKED)'!J168/'Formula Calculations (LOCKED)'!$J$2))</f>
        <v>#DIV/0!</v>
      </c>
      <c r="M168" s="29" t="e">
        <f>IF('Formula Calculations (LOCKED)'!$G168=1,((0.5*'Sheet 2. County Level Data'!$P$12)*('Formula Calculations (LOCKED)'!K168/'Formula Calculations (LOCKED)'!$K$2))+((0.5*'Sheet 2. County Level Data'!$P$12)*('Formula Calculations (LOCKED)'!N168/'Formula Calculations (LOCKED)'!$N$2)),((0.5*(10000000-'Sheet 2. County Level Data'!$P$12))*('Formula Calculations (LOCKED)'!J168/'Formula Calculations (LOCKED)'!$J$2))+((0.5*(10000000-'Sheet 2. County Level Data'!$P$12))*('Formula Calculations (LOCKED)'!M168/'Formula Calculations (LOCKED)'!$M$2)))</f>
        <v>#DIV/0!</v>
      </c>
      <c r="N168" s="7"/>
    </row>
    <row r="169" spans="1:14" x14ac:dyDescent="0.2">
      <c r="A169" s="7"/>
      <c r="B169" s="29">
        <f>('Formula Calculations (LOCKED)'!C169*'Sheet 2. County Level Data'!$P$4)</f>
        <v>0</v>
      </c>
      <c r="C169" s="29" t="e">
        <f>'Formula Calculations (LOCKED)'!H169/'Formula Calculations (LOCKED)'!$H$2*'Sheet 2. County Level Data'!$P$4</f>
        <v>#DIV/0!</v>
      </c>
      <c r="D169" s="29" t="e">
        <f>('Formula Calculations (LOCKED)'!L169/'Formula Calculations (LOCKED)'!$L$2)*'Sheet 2. County Level Data'!$P$4</f>
        <v>#DIV/0!</v>
      </c>
      <c r="E169" s="29" t="e">
        <f>('Formula Calculations (LOCKED)'!O169/'Formula Calculations (LOCKED)'!$O$2)*'Sheet 2. County Level Data'!$P$4</f>
        <v>#DIV/0!</v>
      </c>
      <c r="F169" s="29" t="e">
        <f>('Formula Calculations (LOCKED)'!D169/'Formula Calculations (LOCKED)'!$D$2)*'Sheet 2. County Level Data'!$P$4</f>
        <v>#DIV/0!</v>
      </c>
      <c r="G169" s="29"/>
      <c r="H169" s="29"/>
      <c r="I169" s="7"/>
      <c r="J169" s="29"/>
      <c r="K169" s="29"/>
      <c r="L169" s="29" t="e">
        <f>IF('Formula Calculations (LOCKED)'!$G169=1,('Sheet 2. County Level Data'!$P$12*('Formula Calculations (LOCKED)'!K169/'Formula Calculations (LOCKED)'!$K$2)),((10000000-'Sheet 2. County Level Data'!$P$12)*'Formula Calculations (LOCKED)'!J169/'Formula Calculations (LOCKED)'!$J$2))</f>
        <v>#DIV/0!</v>
      </c>
      <c r="M169" s="29" t="e">
        <f>IF('Formula Calculations (LOCKED)'!$G169=1,((0.5*'Sheet 2. County Level Data'!$P$12)*('Formula Calculations (LOCKED)'!K169/'Formula Calculations (LOCKED)'!$K$2))+((0.5*'Sheet 2. County Level Data'!$P$12)*('Formula Calculations (LOCKED)'!N169/'Formula Calculations (LOCKED)'!$N$2)),((0.5*(10000000-'Sheet 2. County Level Data'!$P$12))*('Formula Calculations (LOCKED)'!J169/'Formula Calculations (LOCKED)'!$J$2))+((0.5*(10000000-'Sheet 2. County Level Data'!$P$12))*('Formula Calculations (LOCKED)'!M169/'Formula Calculations (LOCKED)'!$M$2)))</f>
        <v>#DIV/0!</v>
      </c>
      <c r="N169" s="7"/>
    </row>
    <row r="170" spans="1:14" x14ac:dyDescent="0.2">
      <c r="A170" s="7"/>
      <c r="B170" s="29">
        <f>('Formula Calculations (LOCKED)'!C170*'Sheet 2. County Level Data'!$P$4)</f>
        <v>0</v>
      </c>
      <c r="C170" s="29" t="e">
        <f>'Formula Calculations (LOCKED)'!H170/'Formula Calculations (LOCKED)'!$H$2*'Sheet 2. County Level Data'!$P$4</f>
        <v>#DIV/0!</v>
      </c>
      <c r="D170" s="29" t="e">
        <f>('Formula Calculations (LOCKED)'!L170/'Formula Calculations (LOCKED)'!$L$2)*'Sheet 2. County Level Data'!$P$4</f>
        <v>#DIV/0!</v>
      </c>
      <c r="E170" s="29" t="e">
        <f>('Formula Calculations (LOCKED)'!O170/'Formula Calculations (LOCKED)'!$O$2)*'Sheet 2. County Level Data'!$P$4</f>
        <v>#DIV/0!</v>
      </c>
      <c r="F170" s="29" t="e">
        <f>('Formula Calculations (LOCKED)'!D170/'Formula Calculations (LOCKED)'!$D$2)*'Sheet 2. County Level Data'!$P$4</f>
        <v>#DIV/0!</v>
      </c>
      <c r="G170" s="29"/>
      <c r="H170" s="29"/>
      <c r="I170" s="7"/>
      <c r="J170" s="29"/>
      <c r="K170" s="29"/>
      <c r="L170" s="29" t="e">
        <f>IF('Formula Calculations (LOCKED)'!$G170=1,('Sheet 2. County Level Data'!$P$12*('Formula Calculations (LOCKED)'!K170/'Formula Calculations (LOCKED)'!$K$2)),((10000000-'Sheet 2. County Level Data'!$P$12)*'Formula Calculations (LOCKED)'!J170/'Formula Calculations (LOCKED)'!$J$2))</f>
        <v>#DIV/0!</v>
      </c>
      <c r="M170" s="29" t="e">
        <f>IF('Formula Calculations (LOCKED)'!$G170=1,((0.5*'Sheet 2. County Level Data'!$P$12)*('Formula Calculations (LOCKED)'!K170/'Formula Calculations (LOCKED)'!$K$2))+((0.5*'Sheet 2. County Level Data'!$P$12)*('Formula Calculations (LOCKED)'!N170/'Formula Calculations (LOCKED)'!$N$2)),((0.5*(10000000-'Sheet 2. County Level Data'!$P$12))*('Formula Calculations (LOCKED)'!J170/'Formula Calculations (LOCKED)'!$J$2))+((0.5*(10000000-'Sheet 2. County Level Data'!$P$12))*('Formula Calculations (LOCKED)'!M170/'Formula Calculations (LOCKED)'!$M$2)))</f>
        <v>#DIV/0!</v>
      </c>
      <c r="N170" s="7"/>
    </row>
    <row r="171" spans="1:14" x14ac:dyDescent="0.2">
      <c r="A171" s="7"/>
      <c r="B171" s="29">
        <f>('Formula Calculations (LOCKED)'!C171*'Sheet 2. County Level Data'!$P$4)</f>
        <v>0</v>
      </c>
      <c r="C171" s="29" t="e">
        <f>'Formula Calculations (LOCKED)'!H171/'Formula Calculations (LOCKED)'!$H$2*'Sheet 2. County Level Data'!$P$4</f>
        <v>#DIV/0!</v>
      </c>
      <c r="D171" s="29" t="e">
        <f>('Formula Calculations (LOCKED)'!L171/'Formula Calculations (LOCKED)'!$L$2)*'Sheet 2. County Level Data'!$P$4</f>
        <v>#DIV/0!</v>
      </c>
      <c r="E171" s="29" t="e">
        <f>('Formula Calculations (LOCKED)'!O171/'Formula Calculations (LOCKED)'!$O$2)*'Sheet 2. County Level Data'!$P$4</f>
        <v>#DIV/0!</v>
      </c>
      <c r="F171" s="29" t="e">
        <f>('Formula Calculations (LOCKED)'!D171/'Formula Calculations (LOCKED)'!$D$2)*'Sheet 2. County Level Data'!$P$4</f>
        <v>#DIV/0!</v>
      </c>
      <c r="G171" s="29"/>
      <c r="H171" s="29"/>
      <c r="I171" s="7"/>
      <c r="J171" s="29"/>
      <c r="K171" s="29"/>
      <c r="L171" s="29" t="e">
        <f>IF('Formula Calculations (LOCKED)'!$G171=1,('Sheet 2. County Level Data'!$P$12*('Formula Calculations (LOCKED)'!K171/'Formula Calculations (LOCKED)'!$K$2)),((10000000-'Sheet 2. County Level Data'!$P$12)*'Formula Calculations (LOCKED)'!J171/'Formula Calculations (LOCKED)'!$J$2))</f>
        <v>#DIV/0!</v>
      </c>
      <c r="M171" s="29" t="e">
        <f>IF('Formula Calculations (LOCKED)'!$G171=1,((0.5*'Sheet 2. County Level Data'!$P$12)*('Formula Calculations (LOCKED)'!K171/'Formula Calculations (LOCKED)'!$K$2))+((0.5*'Sheet 2. County Level Data'!$P$12)*('Formula Calculations (LOCKED)'!N171/'Formula Calculations (LOCKED)'!$N$2)),((0.5*(10000000-'Sheet 2. County Level Data'!$P$12))*('Formula Calculations (LOCKED)'!J171/'Formula Calculations (LOCKED)'!$J$2))+((0.5*(10000000-'Sheet 2. County Level Data'!$P$12))*('Formula Calculations (LOCKED)'!M171/'Formula Calculations (LOCKED)'!$M$2)))</f>
        <v>#DIV/0!</v>
      </c>
      <c r="N171" s="7"/>
    </row>
    <row r="172" spans="1:14" x14ac:dyDescent="0.2">
      <c r="A172" s="7"/>
      <c r="B172" s="29">
        <f>('Formula Calculations (LOCKED)'!C172*'Sheet 2. County Level Data'!$P$4)</f>
        <v>0</v>
      </c>
      <c r="C172" s="29" t="e">
        <f>'Formula Calculations (LOCKED)'!H172/'Formula Calculations (LOCKED)'!$H$2*'Sheet 2. County Level Data'!$P$4</f>
        <v>#DIV/0!</v>
      </c>
      <c r="D172" s="29" t="e">
        <f>('Formula Calculations (LOCKED)'!L172/'Formula Calculations (LOCKED)'!$L$2)*'Sheet 2. County Level Data'!$P$4</f>
        <v>#DIV/0!</v>
      </c>
      <c r="E172" s="29" t="e">
        <f>('Formula Calculations (LOCKED)'!O172/'Formula Calculations (LOCKED)'!$O$2)*'Sheet 2. County Level Data'!$P$4</f>
        <v>#DIV/0!</v>
      </c>
      <c r="F172" s="29" t="e">
        <f>('Formula Calculations (LOCKED)'!D172/'Formula Calculations (LOCKED)'!$D$2)*'Sheet 2. County Level Data'!$P$4</f>
        <v>#DIV/0!</v>
      </c>
      <c r="G172" s="29"/>
      <c r="H172" s="29"/>
      <c r="I172" s="7"/>
      <c r="J172" s="29"/>
      <c r="K172" s="29"/>
      <c r="L172" s="29" t="e">
        <f>IF('Formula Calculations (LOCKED)'!$G172=1,('Sheet 2. County Level Data'!$P$12*('Formula Calculations (LOCKED)'!K172/'Formula Calculations (LOCKED)'!$K$2)),((10000000-'Sheet 2. County Level Data'!$P$12)*'Formula Calculations (LOCKED)'!J172/'Formula Calculations (LOCKED)'!$J$2))</f>
        <v>#DIV/0!</v>
      </c>
      <c r="M172" s="29" t="e">
        <f>IF('Formula Calculations (LOCKED)'!$G172=1,((0.5*'Sheet 2. County Level Data'!$P$12)*('Formula Calculations (LOCKED)'!K172/'Formula Calculations (LOCKED)'!$K$2))+((0.5*'Sheet 2. County Level Data'!$P$12)*('Formula Calculations (LOCKED)'!N172/'Formula Calculations (LOCKED)'!$N$2)),((0.5*(10000000-'Sheet 2. County Level Data'!$P$12))*('Formula Calculations (LOCKED)'!J172/'Formula Calculations (LOCKED)'!$J$2))+((0.5*(10000000-'Sheet 2. County Level Data'!$P$12))*('Formula Calculations (LOCKED)'!M172/'Formula Calculations (LOCKED)'!$M$2)))</f>
        <v>#DIV/0!</v>
      </c>
      <c r="N172" s="7"/>
    </row>
    <row r="173" spans="1:14" x14ac:dyDescent="0.2">
      <c r="A173" s="7"/>
      <c r="B173" s="29">
        <f>('Formula Calculations (LOCKED)'!C173*'Sheet 2. County Level Data'!$P$4)</f>
        <v>0</v>
      </c>
      <c r="C173" s="29" t="e">
        <f>'Formula Calculations (LOCKED)'!H173/'Formula Calculations (LOCKED)'!$H$2*'Sheet 2. County Level Data'!$P$4</f>
        <v>#DIV/0!</v>
      </c>
      <c r="D173" s="29" t="e">
        <f>('Formula Calculations (LOCKED)'!L173/'Formula Calculations (LOCKED)'!$L$2)*'Sheet 2. County Level Data'!$P$4</f>
        <v>#DIV/0!</v>
      </c>
      <c r="E173" s="29" t="e">
        <f>('Formula Calculations (LOCKED)'!O173/'Formula Calculations (LOCKED)'!$O$2)*'Sheet 2. County Level Data'!$P$4</f>
        <v>#DIV/0!</v>
      </c>
      <c r="F173" s="29" t="e">
        <f>('Formula Calculations (LOCKED)'!D173/'Formula Calculations (LOCKED)'!$D$2)*'Sheet 2. County Level Data'!$P$4</f>
        <v>#DIV/0!</v>
      </c>
      <c r="G173" s="29"/>
      <c r="H173" s="29"/>
      <c r="I173" s="7"/>
      <c r="J173" s="29"/>
      <c r="K173" s="29"/>
      <c r="L173" s="29" t="e">
        <f>IF('Formula Calculations (LOCKED)'!$G173=1,('Sheet 2. County Level Data'!$P$12*('Formula Calculations (LOCKED)'!K173/'Formula Calculations (LOCKED)'!$K$2)),((10000000-'Sheet 2. County Level Data'!$P$12)*'Formula Calculations (LOCKED)'!J173/'Formula Calculations (LOCKED)'!$J$2))</f>
        <v>#DIV/0!</v>
      </c>
      <c r="M173" s="29" t="e">
        <f>IF('Formula Calculations (LOCKED)'!$G173=1,((0.5*'Sheet 2. County Level Data'!$P$12)*('Formula Calculations (LOCKED)'!K173/'Formula Calculations (LOCKED)'!$K$2))+((0.5*'Sheet 2. County Level Data'!$P$12)*('Formula Calculations (LOCKED)'!N173/'Formula Calculations (LOCKED)'!$N$2)),((0.5*(10000000-'Sheet 2. County Level Data'!$P$12))*('Formula Calculations (LOCKED)'!J173/'Formula Calculations (LOCKED)'!$J$2))+((0.5*(10000000-'Sheet 2. County Level Data'!$P$12))*('Formula Calculations (LOCKED)'!M173/'Formula Calculations (LOCKED)'!$M$2)))</f>
        <v>#DIV/0!</v>
      </c>
      <c r="N173" s="7"/>
    </row>
    <row r="174" spans="1:14" x14ac:dyDescent="0.2">
      <c r="A174" s="7"/>
      <c r="B174" s="29">
        <f>('Formula Calculations (LOCKED)'!C174*'Sheet 2. County Level Data'!$P$4)</f>
        <v>0</v>
      </c>
      <c r="C174" s="29" t="e">
        <f>'Formula Calculations (LOCKED)'!H174/'Formula Calculations (LOCKED)'!$H$2*'Sheet 2. County Level Data'!$P$4</f>
        <v>#DIV/0!</v>
      </c>
      <c r="D174" s="29" t="e">
        <f>('Formula Calculations (LOCKED)'!L174/'Formula Calculations (LOCKED)'!$L$2)*'Sheet 2. County Level Data'!$P$4</f>
        <v>#DIV/0!</v>
      </c>
      <c r="E174" s="29" t="e">
        <f>('Formula Calculations (LOCKED)'!O174/'Formula Calculations (LOCKED)'!$O$2)*'Sheet 2. County Level Data'!$P$4</f>
        <v>#DIV/0!</v>
      </c>
      <c r="F174" s="29" t="e">
        <f>('Formula Calculations (LOCKED)'!D174/'Formula Calculations (LOCKED)'!$D$2)*'Sheet 2. County Level Data'!$P$4</f>
        <v>#DIV/0!</v>
      </c>
      <c r="G174" s="29"/>
      <c r="H174" s="29"/>
      <c r="I174" s="7"/>
      <c r="J174" s="29"/>
      <c r="K174" s="29"/>
      <c r="L174" s="29" t="e">
        <f>IF('Formula Calculations (LOCKED)'!$G174=1,('Sheet 2. County Level Data'!$P$12*('Formula Calculations (LOCKED)'!K174/'Formula Calculations (LOCKED)'!$K$2)),((10000000-'Sheet 2. County Level Data'!$P$12)*'Formula Calculations (LOCKED)'!J174/'Formula Calculations (LOCKED)'!$J$2))</f>
        <v>#DIV/0!</v>
      </c>
      <c r="M174" s="29" t="e">
        <f>IF('Formula Calculations (LOCKED)'!$G174=1,((0.5*'Sheet 2. County Level Data'!$P$12)*('Formula Calculations (LOCKED)'!K174/'Formula Calculations (LOCKED)'!$K$2))+((0.5*'Sheet 2. County Level Data'!$P$12)*('Formula Calculations (LOCKED)'!N174/'Formula Calculations (LOCKED)'!$N$2)),((0.5*(10000000-'Sheet 2. County Level Data'!$P$12))*('Formula Calculations (LOCKED)'!J174/'Formula Calculations (LOCKED)'!$J$2))+((0.5*(10000000-'Sheet 2. County Level Data'!$P$12))*('Formula Calculations (LOCKED)'!M174/'Formula Calculations (LOCKED)'!$M$2)))</f>
        <v>#DIV/0!</v>
      </c>
      <c r="N174" s="7"/>
    </row>
    <row r="175" spans="1:14" x14ac:dyDescent="0.2">
      <c r="A175" s="7"/>
      <c r="B175" s="29">
        <f>('Formula Calculations (LOCKED)'!C175*'Sheet 2. County Level Data'!$P$4)</f>
        <v>0</v>
      </c>
      <c r="C175" s="29" t="e">
        <f>'Formula Calculations (LOCKED)'!H175/'Formula Calculations (LOCKED)'!$H$2*'Sheet 2. County Level Data'!$P$4</f>
        <v>#DIV/0!</v>
      </c>
      <c r="D175" s="29" t="e">
        <f>('Formula Calculations (LOCKED)'!L175/'Formula Calculations (LOCKED)'!$L$2)*'Sheet 2. County Level Data'!$P$4</f>
        <v>#DIV/0!</v>
      </c>
      <c r="E175" s="29" t="e">
        <f>('Formula Calculations (LOCKED)'!O175/'Formula Calculations (LOCKED)'!$O$2)*'Sheet 2. County Level Data'!$P$4</f>
        <v>#DIV/0!</v>
      </c>
      <c r="F175" s="29" t="e">
        <f>('Formula Calculations (LOCKED)'!D175/'Formula Calculations (LOCKED)'!$D$2)*'Sheet 2. County Level Data'!$P$4</f>
        <v>#DIV/0!</v>
      </c>
      <c r="G175" s="29"/>
      <c r="H175" s="29"/>
      <c r="I175" s="7"/>
      <c r="J175" s="29"/>
      <c r="K175" s="29"/>
      <c r="L175" s="29" t="e">
        <f>IF('Formula Calculations (LOCKED)'!$G175=1,('Sheet 2. County Level Data'!$P$12*('Formula Calculations (LOCKED)'!K175/'Formula Calculations (LOCKED)'!$K$2)),((10000000-'Sheet 2. County Level Data'!$P$12)*'Formula Calculations (LOCKED)'!J175/'Formula Calculations (LOCKED)'!$J$2))</f>
        <v>#DIV/0!</v>
      </c>
      <c r="M175" s="29" t="e">
        <f>IF('Formula Calculations (LOCKED)'!$G175=1,((0.5*'Sheet 2. County Level Data'!$P$12)*('Formula Calculations (LOCKED)'!K175/'Formula Calculations (LOCKED)'!$K$2))+((0.5*'Sheet 2. County Level Data'!$P$12)*('Formula Calculations (LOCKED)'!N175/'Formula Calculations (LOCKED)'!$N$2)),((0.5*(10000000-'Sheet 2. County Level Data'!$P$12))*('Formula Calculations (LOCKED)'!J175/'Formula Calculations (LOCKED)'!$J$2))+((0.5*(10000000-'Sheet 2. County Level Data'!$P$12))*('Formula Calculations (LOCKED)'!M175/'Formula Calculations (LOCKED)'!$M$2)))</f>
        <v>#DIV/0!</v>
      </c>
      <c r="N175" s="7"/>
    </row>
    <row r="176" spans="1:14" x14ac:dyDescent="0.2">
      <c r="A176" s="7"/>
      <c r="B176" s="29">
        <f>('Formula Calculations (LOCKED)'!C176*'Sheet 2. County Level Data'!$P$4)</f>
        <v>0</v>
      </c>
      <c r="C176" s="29" t="e">
        <f>'Formula Calculations (LOCKED)'!H176/'Formula Calculations (LOCKED)'!$H$2*'Sheet 2. County Level Data'!$P$4</f>
        <v>#DIV/0!</v>
      </c>
      <c r="D176" s="29" t="e">
        <f>('Formula Calculations (LOCKED)'!L176/'Formula Calculations (LOCKED)'!$L$2)*'Sheet 2. County Level Data'!$P$4</f>
        <v>#DIV/0!</v>
      </c>
      <c r="E176" s="29" t="e">
        <f>('Formula Calculations (LOCKED)'!O176/'Formula Calculations (LOCKED)'!$O$2)*'Sheet 2. County Level Data'!$P$4</f>
        <v>#DIV/0!</v>
      </c>
      <c r="F176" s="29" t="e">
        <f>('Formula Calculations (LOCKED)'!D176/'Formula Calculations (LOCKED)'!$D$2)*'Sheet 2. County Level Data'!$P$4</f>
        <v>#DIV/0!</v>
      </c>
      <c r="G176" s="29"/>
      <c r="H176" s="29"/>
      <c r="I176" s="7"/>
      <c r="J176" s="29"/>
      <c r="K176" s="29"/>
      <c r="L176" s="29" t="e">
        <f>IF('Formula Calculations (LOCKED)'!$G176=1,('Sheet 2. County Level Data'!$P$12*('Formula Calculations (LOCKED)'!K176/'Formula Calculations (LOCKED)'!$K$2)),((10000000-'Sheet 2. County Level Data'!$P$12)*'Formula Calculations (LOCKED)'!J176/'Formula Calculations (LOCKED)'!$J$2))</f>
        <v>#DIV/0!</v>
      </c>
      <c r="M176" s="29" t="e">
        <f>IF('Formula Calculations (LOCKED)'!$G176=1,((0.5*'Sheet 2. County Level Data'!$P$12)*('Formula Calculations (LOCKED)'!K176/'Formula Calculations (LOCKED)'!$K$2))+((0.5*'Sheet 2. County Level Data'!$P$12)*('Formula Calculations (LOCKED)'!N176/'Formula Calculations (LOCKED)'!$N$2)),((0.5*(10000000-'Sheet 2. County Level Data'!$P$12))*('Formula Calculations (LOCKED)'!J176/'Formula Calculations (LOCKED)'!$J$2))+((0.5*(10000000-'Sheet 2. County Level Data'!$P$12))*('Formula Calculations (LOCKED)'!M176/'Formula Calculations (LOCKED)'!$M$2)))</f>
        <v>#DIV/0!</v>
      </c>
      <c r="N176" s="7"/>
    </row>
    <row r="177" spans="1:14" x14ac:dyDescent="0.2">
      <c r="A177" s="7"/>
      <c r="B177" s="29">
        <f>('Formula Calculations (LOCKED)'!C177*'Sheet 2. County Level Data'!$P$4)</f>
        <v>0</v>
      </c>
      <c r="C177" s="29" t="e">
        <f>'Formula Calculations (LOCKED)'!H177/'Formula Calculations (LOCKED)'!$H$2*'Sheet 2. County Level Data'!$P$4</f>
        <v>#DIV/0!</v>
      </c>
      <c r="D177" s="29" t="e">
        <f>('Formula Calculations (LOCKED)'!L177/'Formula Calculations (LOCKED)'!$L$2)*'Sheet 2. County Level Data'!$P$4</f>
        <v>#DIV/0!</v>
      </c>
      <c r="E177" s="29" t="e">
        <f>('Formula Calculations (LOCKED)'!O177/'Formula Calculations (LOCKED)'!$O$2)*'Sheet 2. County Level Data'!$P$4</f>
        <v>#DIV/0!</v>
      </c>
      <c r="F177" s="29" t="e">
        <f>('Formula Calculations (LOCKED)'!D177/'Formula Calculations (LOCKED)'!$D$2)*'Sheet 2. County Level Data'!$P$4</f>
        <v>#DIV/0!</v>
      </c>
      <c r="G177" s="29"/>
      <c r="H177" s="29"/>
      <c r="I177" s="7"/>
      <c r="J177" s="29"/>
      <c r="K177" s="29"/>
      <c r="L177" s="29" t="e">
        <f>IF('Formula Calculations (LOCKED)'!$G177=1,('Sheet 2. County Level Data'!$P$12*('Formula Calculations (LOCKED)'!K177/'Formula Calculations (LOCKED)'!$K$2)),((10000000-'Sheet 2. County Level Data'!$P$12)*'Formula Calculations (LOCKED)'!J177/'Formula Calculations (LOCKED)'!$J$2))</f>
        <v>#DIV/0!</v>
      </c>
      <c r="M177" s="29" t="e">
        <f>IF('Formula Calculations (LOCKED)'!$G177=1,((0.5*'Sheet 2. County Level Data'!$P$12)*('Formula Calculations (LOCKED)'!K177/'Formula Calculations (LOCKED)'!$K$2))+((0.5*'Sheet 2. County Level Data'!$P$12)*('Formula Calculations (LOCKED)'!N177/'Formula Calculations (LOCKED)'!$N$2)),((0.5*(10000000-'Sheet 2. County Level Data'!$P$12))*('Formula Calculations (LOCKED)'!J177/'Formula Calculations (LOCKED)'!$J$2))+((0.5*(10000000-'Sheet 2. County Level Data'!$P$12))*('Formula Calculations (LOCKED)'!M177/'Formula Calculations (LOCKED)'!$M$2)))</f>
        <v>#DIV/0!</v>
      </c>
      <c r="N177" s="7"/>
    </row>
    <row r="178" spans="1:14" x14ac:dyDescent="0.2">
      <c r="A178" s="7"/>
      <c r="B178" s="29">
        <f>('Formula Calculations (LOCKED)'!C178*'Sheet 2. County Level Data'!$P$4)</f>
        <v>0</v>
      </c>
      <c r="C178" s="29" t="e">
        <f>'Formula Calculations (LOCKED)'!H178/'Formula Calculations (LOCKED)'!$H$2*'Sheet 2. County Level Data'!$P$4</f>
        <v>#DIV/0!</v>
      </c>
      <c r="D178" s="29" t="e">
        <f>('Formula Calculations (LOCKED)'!L178/'Formula Calculations (LOCKED)'!$L$2)*'Sheet 2. County Level Data'!$P$4</f>
        <v>#DIV/0!</v>
      </c>
      <c r="E178" s="29" t="e">
        <f>('Formula Calculations (LOCKED)'!O178/'Formula Calculations (LOCKED)'!$O$2)*'Sheet 2. County Level Data'!$P$4</f>
        <v>#DIV/0!</v>
      </c>
      <c r="F178" s="29" t="e">
        <f>('Formula Calculations (LOCKED)'!D178/'Formula Calculations (LOCKED)'!$D$2)*'Sheet 2. County Level Data'!$P$4</f>
        <v>#DIV/0!</v>
      </c>
      <c r="G178" s="29"/>
      <c r="H178" s="29"/>
      <c r="I178" s="7"/>
      <c r="J178" s="29"/>
      <c r="K178" s="29"/>
      <c r="L178" s="29" t="e">
        <f>IF('Formula Calculations (LOCKED)'!$G178=1,('Sheet 2. County Level Data'!$P$12*('Formula Calculations (LOCKED)'!K178/'Formula Calculations (LOCKED)'!$K$2)),((10000000-'Sheet 2. County Level Data'!$P$12)*'Formula Calculations (LOCKED)'!J178/'Formula Calculations (LOCKED)'!$J$2))</f>
        <v>#DIV/0!</v>
      </c>
      <c r="M178" s="29" t="e">
        <f>IF('Formula Calculations (LOCKED)'!$G178=1,((0.5*'Sheet 2. County Level Data'!$P$12)*('Formula Calculations (LOCKED)'!K178/'Formula Calculations (LOCKED)'!$K$2))+((0.5*'Sheet 2. County Level Data'!$P$12)*('Formula Calculations (LOCKED)'!N178/'Formula Calculations (LOCKED)'!$N$2)),((0.5*(10000000-'Sheet 2. County Level Data'!$P$12))*('Formula Calculations (LOCKED)'!J178/'Formula Calculations (LOCKED)'!$J$2))+((0.5*(10000000-'Sheet 2. County Level Data'!$P$12))*('Formula Calculations (LOCKED)'!M178/'Formula Calculations (LOCKED)'!$M$2)))</f>
        <v>#DIV/0!</v>
      </c>
      <c r="N178" s="7"/>
    </row>
    <row r="179" spans="1:14" x14ac:dyDescent="0.2">
      <c r="A179" s="7"/>
      <c r="B179" s="29">
        <f>('Formula Calculations (LOCKED)'!C179*'Sheet 2. County Level Data'!$P$4)</f>
        <v>0</v>
      </c>
      <c r="C179" s="29" t="e">
        <f>'Formula Calculations (LOCKED)'!H179/'Formula Calculations (LOCKED)'!$H$2*'Sheet 2. County Level Data'!$P$4</f>
        <v>#DIV/0!</v>
      </c>
      <c r="D179" s="29" t="e">
        <f>('Formula Calculations (LOCKED)'!L179/'Formula Calculations (LOCKED)'!$L$2)*'Sheet 2. County Level Data'!$P$4</f>
        <v>#DIV/0!</v>
      </c>
      <c r="E179" s="29" t="e">
        <f>('Formula Calculations (LOCKED)'!O179/'Formula Calculations (LOCKED)'!$O$2)*'Sheet 2. County Level Data'!$P$4</f>
        <v>#DIV/0!</v>
      </c>
      <c r="F179" s="29" t="e">
        <f>('Formula Calculations (LOCKED)'!D179/'Formula Calculations (LOCKED)'!$D$2)*'Sheet 2. County Level Data'!$P$4</f>
        <v>#DIV/0!</v>
      </c>
      <c r="G179" s="29"/>
      <c r="H179" s="29"/>
      <c r="I179" s="7"/>
      <c r="J179" s="29"/>
      <c r="K179" s="29"/>
      <c r="L179" s="29" t="e">
        <f>IF('Formula Calculations (LOCKED)'!$G179=1,('Sheet 2. County Level Data'!$P$12*('Formula Calculations (LOCKED)'!K179/'Formula Calculations (LOCKED)'!$K$2)),((10000000-'Sheet 2. County Level Data'!$P$12)*'Formula Calculations (LOCKED)'!J179/'Formula Calculations (LOCKED)'!$J$2))</f>
        <v>#DIV/0!</v>
      </c>
      <c r="M179" s="29" t="e">
        <f>IF('Formula Calculations (LOCKED)'!$G179=1,((0.5*'Sheet 2. County Level Data'!$P$12)*('Formula Calculations (LOCKED)'!K179/'Formula Calculations (LOCKED)'!$K$2))+((0.5*'Sheet 2. County Level Data'!$P$12)*('Formula Calculations (LOCKED)'!N179/'Formula Calculations (LOCKED)'!$N$2)),((0.5*(10000000-'Sheet 2. County Level Data'!$P$12))*('Formula Calculations (LOCKED)'!J179/'Formula Calculations (LOCKED)'!$J$2))+((0.5*(10000000-'Sheet 2. County Level Data'!$P$12))*('Formula Calculations (LOCKED)'!M179/'Formula Calculations (LOCKED)'!$M$2)))</f>
        <v>#DIV/0!</v>
      </c>
      <c r="N179" s="7"/>
    </row>
    <row r="180" spans="1:14" x14ac:dyDescent="0.2">
      <c r="A180" s="7"/>
      <c r="B180" s="29">
        <f>('Formula Calculations (LOCKED)'!C180*'Sheet 2. County Level Data'!$P$4)</f>
        <v>0</v>
      </c>
      <c r="C180" s="29" t="e">
        <f>'Formula Calculations (LOCKED)'!H180/'Formula Calculations (LOCKED)'!$H$2*'Sheet 2. County Level Data'!$P$4</f>
        <v>#DIV/0!</v>
      </c>
      <c r="D180" s="29" t="e">
        <f>('Formula Calculations (LOCKED)'!L180/'Formula Calculations (LOCKED)'!$L$2)*'Sheet 2. County Level Data'!$P$4</f>
        <v>#DIV/0!</v>
      </c>
      <c r="E180" s="29" t="e">
        <f>('Formula Calculations (LOCKED)'!O180/'Formula Calculations (LOCKED)'!$O$2)*'Sheet 2. County Level Data'!$P$4</f>
        <v>#DIV/0!</v>
      </c>
      <c r="F180" s="29" t="e">
        <f>('Formula Calculations (LOCKED)'!D180/'Formula Calculations (LOCKED)'!$D$2)*'Sheet 2. County Level Data'!$P$4</f>
        <v>#DIV/0!</v>
      </c>
      <c r="G180" s="29"/>
      <c r="H180" s="29"/>
      <c r="I180" s="7"/>
      <c r="J180" s="29"/>
      <c r="K180" s="29"/>
      <c r="L180" s="29" t="e">
        <f>IF('Formula Calculations (LOCKED)'!$G180=1,('Sheet 2. County Level Data'!$P$12*('Formula Calculations (LOCKED)'!K180/'Formula Calculations (LOCKED)'!$K$2)),((10000000-'Sheet 2. County Level Data'!$P$12)*'Formula Calculations (LOCKED)'!J180/'Formula Calculations (LOCKED)'!$J$2))</f>
        <v>#DIV/0!</v>
      </c>
      <c r="M180" s="29" t="e">
        <f>IF('Formula Calculations (LOCKED)'!$G180=1,((0.5*'Sheet 2. County Level Data'!$P$12)*('Formula Calculations (LOCKED)'!K180/'Formula Calculations (LOCKED)'!$K$2))+((0.5*'Sheet 2. County Level Data'!$P$12)*('Formula Calculations (LOCKED)'!N180/'Formula Calculations (LOCKED)'!$N$2)),((0.5*(10000000-'Sheet 2. County Level Data'!$P$12))*('Formula Calculations (LOCKED)'!J180/'Formula Calculations (LOCKED)'!$J$2))+((0.5*(10000000-'Sheet 2. County Level Data'!$P$12))*('Formula Calculations (LOCKED)'!M180/'Formula Calculations (LOCKED)'!$M$2)))</f>
        <v>#DIV/0!</v>
      </c>
      <c r="N180" s="7"/>
    </row>
    <row r="181" spans="1:14" x14ac:dyDescent="0.2">
      <c r="A181" s="7"/>
      <c r="B181" s="29">
        <f>('Formula Calculations (LOCKED)'!C181*'Sheet 2. County Level Data'!$P$4)</f>
        <v>0</v>
      </c>
      <c r="C181" s="29" t="e">
        <f>'Formula Calculations (LOCKED)'!H181/'Formula Calculations (LOCKED)'!$H$2*'Sheet 2. County Level Data'!$P$4</f>
        <v>#DIV/0!</v>
      </c>
      <c r="D181" s="29" t="e">
        <f>('Formula Calculations (LOCKED)'!L181/'Formula Calculations (LOCKED)'!$L$2)*'Sheet 2. County Level Data'!$P$4</f>
        <v>#DIV/0!</v>
      </c>
      <c r="E181" s="29" t="e">
        <f>('Formula Calculations (LOCKED)'!O181/'Formula Calculations (LOCKED)'!$O$2)*'Sheet 2. County Level Data'!$P$4</f>
        <v>#DIV/0!</v>
      </c>
      <c r="F181" s="29" t="e">
        <f>('Formula Calculations (LOCKED)'!D181/'Formula Calculations (LOCKED)'!$D$2)*'Sheet 2. County Level Data'!$P$4</f>
        <v>#DIV/0!</v>
      </c>
      <c r="G181" s="29"/>
      <c r="H181" s="29"/>
      <c r="I181" s="7"/>
      <c r="J181" s="29"/>
      <c r="K181" s="29"/>
      <c r="L181" s="29" t="e">
        <f>IF('Formula Calculations (LOCKED)'!$G181=1,('Sheet 2. County Level Data'!$P$12*('Formula Calculations (LOCKED)'!K181/'Formula Calculations (LOCKED)'!$K$2)),((10000000-'Sheet 2. County Level Data'!$P$12)*'Formula Calculations (LOCKED)'!J181/'Formula Calculations (LOCKED)'!$J$2))</f>
        <v>#DIV/0!</v>
      </c>
      <c r="M181" s="29" t="e">
        <f>IF('Formula Calculations (LOCKED)'!$G181=1,((0.5*'Sheet 2. County Level Data'!$P$12)*('Formula Calculations (LOCKED)'!K181/'Formula Calculations (LOCKED)'!$K$2))+((0.5*'Sheet 2. County Level Data'!$P$12)*('Formula Calculations (LOCKED)'!N181/'Formula Calculations (LOCKED)'!$N$2)),((0.5*(10000000-'Sheet 2. County Level Data'!$P$12))*('Formula Calculations (LOCKED)'!J181/'Formula Calculations (LOCKED)'!$J$2))+((0.5*(10000000-'Sheet 2. County Level Data'!$P$12))*('Formula Calculations (LOCKED)'!M181/'Formula Calculations (LOCKED)'!$M$2)))</f>
        <v>#DIV/0!</v>
      </c>
      <c r="N181" s="7"/>
    </row>
    <row r="182" spans="1:14" x14ac:dyDescent="0.2">
      <c r="A182" s="7"/>
      <c r="B182" s="29">
        <f>('Formula Calculations (LOCKED)'!C182*'Sheet 2. County Level Data'!$P$4)</f>
        <v>0</v>
      </c>
      <c r="C182" s="29" t="e">
        <f>'Formula Calculations (LOCKED)'!H182/'Formula Calculations (LOCKED)'!$H$2*'Sheet 2. County Level Data'!$P$4</f>
        <v>#DIV/0!</v>
      </c>
      <c r="D182" s="29" t="e">
        <f>('Formula Calculations (LOCKED)'!L182/'Formula Calculations (LOCKED)'!$L$2)*'Sheet 2. County Level Data'!$P$4</f>
        <v>#DIV/0!</v>
      </c>
      <c r="E182" s="29" t="e">
        <f>('Formula Calculations (LOCKED)'!O182/'Formula Calculations (LOCKED)'!$O$2)*'Sheet 2. County Level Data'!$P$4</f>
        <v>#DIV/0!</v>
      </c>
      <c r="F182" s="29" t="e">
        <f>('Formula Calculations (LOCKED)'!D182/'Formula Calculations (LOCKED)'!$D$2)*'Sheet 2. County Level Data'!$P$4</f>
        <v>#DIV/0!</v>
      </c>
      <c r="G182" s="29"/>
      <c r="H182" s="29"/>
      <c r="I182" s="7"/>
      <c r="J182" s="29"/>
      <c r="K182" s="29"/>
      <c r="L182" s="29" t="e">
        <f>IF('Formula Calculations (LOCKED)'!$G182=1,('Sheet 2. County Level Data'!$P$12*('Formula Calculations (LOCKED)'!K182/'Formula Calculations (LOCKED)'!$K$2)),((10000000-'Sheet 2. County Level Data'!$P$12)*'Formula Calculations (LOCKED)'!J182/'Formula Calculations (LOCKED)'!$J$2))</f>
        <v>#DIV/0!</v>
      </c>
      <c r="M182" s="29" t="e">
        <f>IF('Formula Calculations (LOCKED)'!$G182=1,((0.5*'Sheet 2. County Level Data'!$P$12)*('Formula Calculations (LOCKED)'!K182/'Formula Calculations (LOCKED)'!$K$2))+((0.5*'Sheet 2. County Level Data'!$P$12)*('Formula Calculations (LOCKED)'!N182/'Formula Calculations (LOCKED)'!$N$2)),((0.5*(10000000-'Sheet 2. County Level Data'!$P$12))*('Formula Calculations (LOCKED)'!J182/'Formula Calculations (LOCKED)'!$J$2))+((0.5*(10000000-'Sheet 2. County Level Data'!$P$12))*('Formula Calculations (LOCKED)'!M182/'Formula Calculations (LOCKED)'!$M$2)))</f>
        <v>#DIV/0!</v>
      </c>
      <c r="N182" s="7"/>
    </row>
    <row r="183" spans="1:14" x14ac:dyDescent="0.2">
      <c r="A183" s="7"/>
      <c r="B183" s="29">
        <f>('Formula Calculations (LOCKED)'!C183*'Sheet 2. County Level Data'!$P$4)</f>
        <v>0</v>
      </c>
      <c r="C183" s="29" t="e">
        <f>'Formula Calculations (LOCKED)'!H183/'Formula Calculations (LOCKED)'!$H$2*'Sheet 2. County Level Data'!$P$4</f>
        <v>#DIV/0!</v>
      </c>
      <c r="D183" s="29" t="e">
        <f>('Formula Calculations (LOCKED)'!L183/'Formula Calculations (LOCKED)'!$L$2)*'Sheet 2. County Level Data'!$P$4</f>
        <v>#DIV/0!</v>
      </c>
      <c r="E183" s="29" t="e">
        <f>('Formula Calculations (LOCKED)'!O183/'Formula Calculations (LOCKED)'!$O$2)*'Sheet 2. County Level Data'!$P$4</f>
        <v>#DIV/0!</v>
      </c>
      <c r="F183" s="29" t="e">
        <f>('Formula Calculations (LOCKED)'!D183/'Formula Calculations (LOCKED)'!$D$2)*'Sheet 2. County Level Data'!$P$4</f>
        <v>#DIV/0!</v>
      </c>
      <c r="G183" s="29"/>
      <c r="H183" s="29"/>
      <c r="I183" s="7"/>
      <c r="J183" s="29"/>
      <c r="K183" s="29"/>
      <c r="L183" s="29" t="e">
        <f>IF('Formula Calculations (LOCKED)'!$G183=1,('Sheet 2. County Level Data'!$P$12*('Formula Calculations (LOCKED)'!K183/'Formula Calculations (LOCKED)'!$K$2)),((10000000-'Sheet 2. County Level Data'!$P$12)*'Formula Calculations (LOCKED)'!J183/'Formula Calculations (LOCKED)'!$J$2))</f>
        <v>#DIV/0!</v>
      </c>
      <c r="M183" s="29" t="e">
        <f>IF('Formula Calculations (LOCKED)'!$G183=1,((0.5*'Sheet 2. County Level Data'!$P$12)*('Formula Calculations (LOCKED)'!K183/'Formula Calculations (LOCKED)'!$K$2))+((0.5*'Sheet 2. County Level Data'!$P$12)*('Formula Calculations (LOCKED)'!N183/'Formula Calculations (LOCKED)'!$N$2)),((0.5*(10000000-'Sheet 2. County Level Data'!$P$12))*('Formula Calculations (LOCKED)'!J183/'Formula Calculations (LOCKED)'!$J$2))+((0.5*(10000000-'Sheet 2. County Level Data'!$P$12))*('Formula Calculations (LOCKED)'!M183/'Formula Calculations (LOCKED)'!$M$2)))</f>
        <v>#DIV/0!</v>
      </c>
      <c r="N183" s="7"/>
    </row>
    <row r="184" spans="1:14" x14ac:dyDescent="0.2">
      <c r="A184" s="7"/>
      <c r="B184" s="29">
        <f>('Formula Calculations (LOCKED)'!C184*'Sheet 2. County Level Data'!$P$4)</f>
        <v>0</v>
      </c>
      <c r="C184" s="29" t="e">
        <f>'Formula Calculations (LOCKED)'!H184/'Formula Calculations (LOCKED)'!$H$2*'Sheet 2. County Level Data'!$P$4</f>
        <v>#DIV/0!</v>
      </c>
      <c r="D184" s="29" t="e">
        <f>('Formula Calculations (LOCKED)'!L184/'Formula Calculations (LOCKED)'!$L$2)*'Sheet 2. County Level Data'!$P$4</f>
        <v>#DIV/0!</v>
      </c>
      <c r="E184" s="29" t="e">
        <f>('Formula Calculations (LOCKED)'!O184/'Formula Calculations (LOCKED)'!$O$2)*'Sheet 2. County Level Data'!$P$4</f>
        <v>#DIV/0!</v>
      </c>
      <c r="F184" s="29" t="e">
        <f>('Formula Calculations (LOCKED)'!D184/'Formula Calculations (LOCKED)'!$D$2)*'Sheet 2. County Level Data'!$P$4</f>
        <v>#DIV/0!</v>
      </c>
      <c r="G184" s="29"/>
      <c r="H184" s="29"/>
      <c r="I184" s="7"/>
      <c r="J184" s="29"/>
      <c r="K184" s="29"/>
      <c r="L184" s="29" t="e">
        <f>IF('Formula Calculations (LOCKED)'!$G184=1,('Sheet 2. County Level Data'!$P$12*('Formula Calculations (LOCKED)'!K184/'Formula Calculations (LOCKED)'!$K$2)),((10000000-'Sheet 2. County Level Data'!$P$12)*'Formula Calculations (LOCKED)'!J184/'Formula Calculations (LOCKED)'!$J$2))</f>
        <v>#DIV/0!</v>
      </c>
      <c r="M184" s="29" t="e">
        <f>IF('Formula Calculations (LOCKED)'!$G184=1,((0.5*'Sheet 2. County Level Data'!$P$12)*('Formula Calculations (LOCKED)'!K184/'Formula Calculations (LOCKED)'!$K$2))+((0.5*'Sheet 2. County Level Data'!$P$12)*('Formula Calculations (LOCKED)'!N184/'Formula Calculations (LOCKED)'!$N$2)),((0.5*(10000000-'Sheet 2. County Level Data'!$P$12))*('Formula Calculations (LOCKED)'!J184/'Formula Calculations (LOCKED)'!$J$2))+((0.5*(10000000-'Sheet 2. County Level Data'!$P$12))*('Formula Calculations (LOCKED)'!M184/'Formula Calculations (LOCKED)'!$M$2)))</f>
        <v>#DIV/0!</v>
      </c>
      <c r="N184" s="7"/>
    </row>
    <row r="185" spans="1:14" x14ac:dyDescent="0.2">
      <c r="A185" s="7"/>
      <c r="B185" s="29">
        <f>('Formula Calculations (LOCKED)'!C185*'Sheet 2. County Level Data'!$P$4)</f>
        <v>0</v>
      </c>
      <c r="C185" s="29" t="e">
        <f>'Formula Calculations (LOCKED)'!H185/'Formula Calculations (LOCKED)'!$H$2*'Sheet 2. County Level Data'!$P$4</f>
        <v>#DIV/0!</v>
      </c>
      <c r="D185" s="29" t="e">
        <f>('Formula Calculations (LOCKED)'!L185/'Formula Calculations (LOCKED)'!$L$2)*'Sheet 2. County Level Data'!$P$4</f>
        <v>#DIV/0!</v>
      </c>
      <c r="E185" s="29" t="e">
        <f>('Formula Calculations (LOCKED)'!O185/'Formula Calculations (LOCKED)'!$O$2)*'Sheet 2. County Level Data'!$P$4</f>
        <v>#DIV/0!</v>
      </c>
      <c r="F185" s="29" t="e">
        <f>('Formula Calculations (LOCKED)'!D185/'Formula Calculations (LOCKED)'!$D$2)*'Sheet 2. County Level Data'!$P$4</f>
        <v>#DIV/0!</v>
      </c>
      <c r="G185" s="29"/>
      <c r="H185" s="29"/>
      <c r="I185" s="7"/>
      <c r="J185" s="29"/>
      <c r="K185" s="29"/>
      <c r="L185" s="29" t="e">
        <f>IF('Formula Calculations (LOCKED)'!$G185=1,('Sheet 2. County Level Data'!$P$12*('Formula Calculations (LOCKED)'!K185/'Formula Calculations (LOCKED)'!$K$2)),((10000000-'Sheet 2. County Level Data'!$P$12)*'Formula Calculations (LOCKED)'!J185/'Formula Calculations (LOCKED)'!$J$2))</f>
        <v>#DIV/0!</v>
      </c>
      <c r="M185" s="29" t="e">
        <f>IF('Formula Calculations (LOCKED)'!$G185=1,((0.5*'Sheet 2. County Level Data'!$P$12)*('Formula Calculations (LOCKED)'!K185/'Formula Calculations (LOCKED)'!$K$2))+((0.5*'Sheet 2. County Level Data'!$P$12)*('Formula Calculations (LOCKED)'!N185/'Formula Calculations (LOCKED)'!$N$2)),((0.5*(10000000-'Sheet 2. County Level Data'!$P$12))*('Formula Calculations (LOCKED)'!J185/'Formula Calculations (LOCKED)'!$J$2))+((0.5*(10000000-'Sheet 2. County Level Data'!$P$12))*('Formula Calculations (LOCKED)'!M185/'Formula Calculations (LOCKED)'!$M$2)))</f>
        <v>#DIV/0!</v>
      </c>
      <c r="N185" s="7"/>
    </row>
    <row r="186" spans="1:14" x14ac:dyDescent="0.2">
      <c r="A186" s="7"/>
      <c r="B186" s="29">
        <f>('Formula Calculations (LOCKED)'!C186*'Sheet 2. County Level Data'!$P$4)</f>
        <v>0</v>
      </c>
      <c r="C186" s="29" t="e">
        <f>'Formula Calculations (LOCKED)'!H186/'Formula Calculations (LOCKED)'!$H$2*'Sheet 2. County Level Data'!$P$4</f>
        <v>#DIV/0!</v>
      </c>
      <c r="D186" s="29" t="e">
        <f>('Formula Calculations (LOCKED)'!L186/'Formula Calculations (LOCKED)'!$L$2)*'Sheet 2. County Level Data'!$P$4</f>
        <v>#DIV/0!</v>
      </c>
      <c r="E186" s="29" t="e">
        <f>('Formula Calculations (LOCKED)'!O186/'Formula Calculations (LOCKED)'!$O$2)*'Sheet 2. County Level Data'!$P$4</f>
        <v>#DIV/0!</v>
      </c>
      <c r="F186" s="29" t="e">
        <f>('Formula Calculations (LOCKED)'!D186/'Formula Calculations (LOCKED)'!$D$2)*'Sheet 2. County Level Data'!$P$4</f>
        <v>#DIV/0!</v>
      </c>
      <c r="G186" s="29"/>
      <c r="H186" s="29"/>
      <c r="I186" s="7"/>
      <c r="J186" s="29"/>
      <c r="K186" s="29"/>
      <c r="L186" s="29" t="e">
        <f>IF('Formula Calculations (LOCKED)'!$G186=1,('Sheet 2. County Level Data'!$P$12*('Formula Calculations (LOCKED)'!K186/'Formula Calculations (LOCKED)'!$K$2)),((10000000-'Sheet 2. County Level Data'!$P$12)*'Formula Calculations (LOCKED)'!J186/'Formula Calculations (LOCKED)'!$J$2))</f>
        <v>#DIV/0!</v>
      </c>
      <c r="M186" s="29" t="e">
        <f>IF('Formula Calculations (LOCKED)'!$G186=1,((0.5*'Sheet 2. County Level Data'!$P$12)*('Formula Calculations (LOCKED)'!K186/'Formula Calculations (LOCKED)'!$K$2))+((0.5*'Sheet 2. County Level Data'!$P$12)*('Formula Calculations (LOCKED)'!N186/'Formula Calculations (LOCKED)'!$N$2)),((0.5*(10000000-'Sheet 2. County Level Data'!$P$12))*('Formula Calculations (LOCKED)'!J186/'Formula Calculations (LOCKED)'!$J$2))+((0.5*(10000000-'Sheet 2. County Level Data'!$P$12))*('Formula Calculations (LOCKED)'!M186/'Formula Calculations (LOCKED)'!$M$2)))</f>
        <v>#DIV/0!</v>
      </c>
      <c r="N186" s="7"/>
    </row>
    <row r="187" spans="1:14" x14ac:dyDescent="0.2">
      <c r="A187" s="7"/>
      <c r="B187" s="29">
        <f>('Formula Calculations (LOCKED)'!C187*'Sheet 2. County Level Data'!$P$4)</f>
        <v>0</v>
      </c>
      <c r="C187" s="29" t="e">
        <f>'Formula Calculations (LOCKED)'!H187/'Formula Calculations (LOCKED)'!$H$2*'Sheet 2. County Level Data'!$P$4</f>
        <v>#DIV/0!</v>
      </c>
      <c r="D187" s="29" t="e">
        <f>('Formula Calculations (LOCKED)'!L187/'Formula Calculations (LOCKED)'!$L$2)*'Sheet 2. County Level Data'!$P$4</f>
        <v>#DIV/0!</v>
      </c>
      <c r="E187" s="29" t="e">
        <f>('Formula Calculations (LOCKED)'!O187/'Formula Calculations (LOCKED)'!$O$2)*'Sheet 2. County Level Data'!$P$4</f>
        <v>#DIV/0!</v>
      </c>
      <c r="F187" s="29" t="e">
        <f>('Formula Calculations (LOCKED)'!D187/'Formula Calculations (LOCKED)'!$D$2)*'Sheet 2. County Level Data'!$P$4</f>
        <v>#DIV/0!</v>
      </c>
      <c r="G187" s="29"/>
      <c r="H187" s="29"/>
      <c r="I187" s="7"/>
      <c r="J187" s="29"/>
      <c r="K187" s="29"/>
      <c r="L187" s="29" t="e">
        <f>IF('Formula Calculations (LOCKED)'!$G187=1,('Sheet 2. County Level Data'!$P$12*('Formula Calculations (LOCKED)'!K187/'Formula Calculations (LOCKED)'!$K$2)),((10000000-'Sheet 2. County Level Data'!$P$12)*'Formula Calculations (LOCKED)'!J187/'Formula Calculations (LOCKED)'!$J$2))</f>
        <v>#DIV/0!</v>
      </c>
      <c r="M187" s="29" t="e">
        <f>IF('Formula Calculations (LOCKED)'!$G187=1,((0.5*'Sheet 2. County Level Data'!$P$12)*('Formula Calculations (LOCKED)'!K187/'Formula Calculations (LOCKED)'!$K$2))+((0.5*'Sheet 2. County Level Data'!$P$12)*('Formula Calculations (LOCKED)'!N187/'Formula Calculations (LOCKED)'!$N$2)),((0.5*(10000000-'Sheet 2. County Level Data'!$P$12))*('Formula Calculations (LOCKED)'!J187/'Formula Calculations (LOCKED)'!$J$2))+((0.5*(10000000-'Sheet 2. County Level Data'!$P$12))*('Formula Calculations (LOCKED)'!M187/'Formula Calculations (LOCKED)'!$M$2)))</f>
        <v>#DIV/0!</v>
      </c>
      <c r="N187" s="7"/>
    </row>
    <row r="188" spans="1:14" x14ac:dyDescent="0.2">
      <c r="A188" s="7"/>
      <c r="B188" s="29">
        <f>('Formula Calculations (LOCKED)'!C188*'Sheet 2. County Level Data'!$P$4)</f>
        <v>0</v>
      </c>
      <c r="C188" s="29" t="e">
        <f>'Formula Calculations (LOCKED)'!H188/'Formula Calculations (LOCKED)'!$H$2*'Sheet 2. County Level Data'!$P$4</f>
        <v>#DIV/0!</v>
      </c>
      <c r="D188" s="29" t="e">
        <f>('Formula Calculations (LOCKED)'!L188/'Formula Calculations (LOCKED)'!$L$2)*'Sheet 2. County Level Data'!$P$4</f>
        <v>#DIV/0!</v>
      </c>
      <c r="E188" s="29" t="e">
        <f>('Formula Calculations (LOCKED)'!O188/'Formula Calculations (LOCKED)'!$O$2)*'Sheet 2. County Level Data'!$P$4</f>
        <v>#DIV/0!</v>
      </c>
      <c r="F188" s="29" t="e">
        <f>('Formula Calculations (LOCKED)'!D188/'Formula Calculations (LOCKED)'!$D$2)*'Sheet 2. County Level Data'!$P$4</f>
        <v>#DIV/0!</v>
      </c>
      <c r="G188" s="29"/>
      <c r="H188" s="29"/>
      <c r="I188" s="7"/>
      <c r="J188" s="29"/>
      <c r="K188" s="29"/>
      <c r="L188" s="29" t="e">
        <f>IF('Formula Calculations (LOCKED)'!$G188=1,('Sheet 2. County Level Data'!$P$12*('Formula Calculations (LOCKED)'!K188/'Formula Calculations (LOCKED)'!$K$2)),((10000000-'Sheet 2. County Level Data'!$P$12)*'Formula Calculations (LOCKED)'!J188/'Formula Calculations (LOCKED)'!$J$2))</f>
        <v>#DIV/0!</v>
      </c>
      <c r="M188" s="29" t="e">
        <f>IF('Formula Calculations (LOCKED)'!$G188=1,((0.5*'Sheet 2. County Level Data'!$P$12)*('Formula Calculations (LOCKED)'!K188/'Formula Calculations (LOCKED)'!$K$2))+((0.5*'Sheet 2. County Level Data'!$P$12)*('Formula Calculations (LOCKED)'!N188/'Formula Calculations (LOCKED)'!$N$2)),((0.5*(10000000-'Sheet 2. County Level Data'!$P$12))*('Formula Calculations (LOCKED)'!J188/'Formula Calculations (LOCKED)'!$J$2))+((0.5*(10000000-'Sheet 2. County Level Data'!$P$12))*('Formula Calculations (LOCKED)'!M188/'Formula Calculations (LOCKED)'!$M$2)))</f>
        <v>#DIV/0!</v>
      </c>
      <c r="N188" s="7"/>
    </row>
    <row r="189" spans="1:14" x14ac:dyDescent="0.2">
      <c r="A189" s="7"/>
      <c r="B189" s="29">
        <f>('Formula Calculations (LOCKED)'!C189*'Sheet 2. County Level Data'!$P$4)</f>
        <v>0</v>
      </c>
      <c r="C189" s="29" t="e">
        <f>'Formula Calculations (LOCKED)'!H189/'Formula Calculations (LOCKED)'!$H$2*'Sheet 2. County Level Data'!$P$4</f>
        <v>#DIV/0!</v>
      </c>
      <c r="D189" s="29" t="e">
        <f>('Formula Calculations (LOCKED)'!L189/'Formula Calculations (LOCKED)'!$L$2)*'Sheet 2. County Level Data'!$P$4</f>
        <v>#DIV/0!</v>
      </c>
      <c r="E189" s="29" t="e">
        <f>('Formula Calculations (LOCKED)'!O189/'Formula Calculations (LOCKED)'!$O$2)*'Sheet 2. County Level Data'!$P$4</f>
        <v>#DIV/0!</v>
      </c>
      <c r="F189" s="29" t="e">
        <f>('Formula Calculations (LOCKED)'!D189/'Formula Calculations (LOCKED)'!$D$2)*'Sheet 2. County Level Data'!$P$4</f>
        <v>#DIV/0!</v>
      </c>
      <c r="G189" s="29"/>
      <c r="H189" s="29"/>
      <c r="I189" s="7"/>
      <c r="J189" s="29"/>
      <c r="K189" s="29"/>
      <c r="L189" s="29" t="e">
        <f>IF('Formula Calculations (LOCKED)'!$G189=1,('Sheet 2. County Level Data'!$P$12*('Formula Calculations (LOCKED)'!K189/'Formula Calculations (LOCKED)'!$K$2)),((10000000-'Sheet 2. County Level Data'!$P$12)*'Formula Calculations (LOCKED)'!J189/'Formula Calculations (LOCKED)'!$J$2))</f>
        <v>#DIV/0!</v>
      </c>
      <c r="M189" s="29" t="e">
        <f>IF('Formula Calculations (LOCKED)'!$G189=1,((0.5*'Sheet 2. County Level Data'!$P$12)*('Formula Calculations (LOCKED)'!K189/'Formula Calculations (LOCKED)'!$K$2))+((0.5*'Sheet 2. County Level Data'!$P$12)*('Formula Calculations (LOCKED)'!N189/'Formula Calculations (LOCKED)'!$N$2)),((0.5*(10000000-'Sheet 2. County Level Data'!$P$12))*('Formula Calculations (LOCKED)'!J189/'Formula Calculations (LOCKED)'!$J$2))+((0.5*(10000000-'Sheet 2. County Level Data'!$P$12))*('Formula Calculations (LOCKED)'!M189/'Formula Calculations (LOCKED)'!$M$2)))</f>
        <v>#DIV/0!</v>
      </c>
      <c r="N189" s="7"/>
    </row>
    <row r="190" spans="1:14" x14ac:dyDescent="0.2">
      <c r="A190" s="7"/>
      <c r="B190" s="29">
        <f>('Formula Calculations (LOCKED)'!C190*'Sheet 2. County Level Data'!$P$4)</f>
        <v>0</v>
      </c>
      <c r="C190" s="29" t="e">
        <f>'Formula Calculations (LOCKED)'!H190/'Formula Calculations (LOCKED)'!$H$2*'Sheet 2. County Level Data'!$P$4</f>
        <v>#DIV/0!</v>
      </c>
      <c r="D190" s="29" t="e">
        <f>('Formula Calculations (LOCKED)'!L190/'Formula Calculations (LOCKED)'!$L$2)*'Sheet 2. County Level Data'!$P$4</f>
        <v>#DIV/0!</v>
      </c>
      <c r="E190" s="29" t="e">
        <f>('Formula Calculations (LOCKED)'!O190/'Formula Calculations (LOCKED)'!$O$2)*'Sheet 2. County Level Data'!$P$4</f>
        <v>#DIV/0!</v>
      </c>
      <c r="F190" s="29" t="e">
        <f>('Formula Calculations (LOCKED)'!D190/'Formula Calculations (LOCKED)'!$D$2)*'Sheet 2. County Level Data'!$P$4</f>
        <v>#DIV/0!</v>
      </c>
      <c r="G190" s="29"/>
      <c r="H190" s="29"/>
      <c r="I190" s="7"/>
      <c r="J190" s="29"/>
      <c r="K190" s="29"/>
      <c r="L190" s="29" t="e">
        <f>IF('Formula Calculations (LOCKED)'!$G190=1,('Sheet 2. County Level Data'!$P$12*('Formula Calculations (LOCKED)'!K190/'Formula Calculations (LOCKED)'!$K$2)),((10000000-'Sheet 2. County Level Data'!$P$12)*'Formula Calculations (LOCKED)'!J190/'Formula Calculations (LOCKED)'!$J$2))</f>
        <v>#DIV/0!</v>
      </c>
      <c r="M190" s="29" t="e">
        <f>IF('Formula Calculations (LOCKED)'!$G190=1,((0.5*'Sheet 2. County Level Data'!$P$12)*('Formula Calculations (LOCKED)'!K190/'Formula Calculations (LOCKED)'!$K$2))+((0.5*'Sheet 2. County Level Data'!$P$12)*('Formula Calculations (LOCKED)'!N190/'Formula Calculations (LOCKED)'!$N$2)),((0.5*(10000000-'Sheet 2. County Level Data'!$P$12))*('Formula Calculations (LOCKED)'!J190/'Formula Calculations (LOCKED)'!$J$2))+((0.5*(10000000-'Sheet 2. County Level Data'!$P$12))*('Formula Calculations (LOCKED)'!M190/'Formula Calculations (LOCKED)'!$M$2)))</f>
        <v>#DIV/0!</v>
      </c>
      <c r="N190" s="7"/>
    </row>
    <row r="191" spans="1:14" x14ac:dyDescent="0.2">
      <c r="A191" s="7"/>
      <c r="B191" s="29">
        <f>('Formula Calculations (LOCKED)'!C191*'Sheet 2. County Level Data'!$P$4)</f>
        <v>0</v>
      </c>
      <c r="C191" s="29" t="e">
        <f>'Formula Calculations (LOCKED)'!H191/'Formula Calculations (LOCKED)'!$H$2*'Sheet 2. County Level Data'!$P$4</f>
        <v>#DIV/0!</v>
      </c>
      <c r="D191" s="29" t="e">
        <f>('Formula Calculations (LOCKED)'!L191/'Formula Calculations (LOCKED)'!$L$2)*'Sheet 2. County Level Data'!$P$4</f>
        <v>#DIV/0!</v>
      </c>
      <c r="E191" s="29" t="e">
        <f>('Formula Calculations (LOCKED)'!O191/'Formula Calculations (LOCKED)'!$O$2)*'Sheet 2. County Level Data'!$P$4</f>
        <v>#DIV/0!</v>
      </c>
      <c r="F191" s="29" t="e">
        <f>('Formula Calculations (LOCKED)'!D191/'Formula Calculations (LOCKED)'!$D$2)*'Sheet 2. County Level Data'!$P$4</f>
        <v>#DIV/0!</v>
      </c>
      <c r="G191" s="29"/>
      <c r="H191" s="29"/>
      <c r="I191" s="7"/>
      <c r="J191" s="29"/>
      <c r="K191" s="29"/>
      <c r="L191" s="29" t="e">
        <f>IF('Formula Calculations (LOCKED)'!$G191=1,('Sheet 2. County Level Data'!$P$12*('Formula Calculations (LOCKED)'!K191/'Formula Calculations (LOCKED)'!$K$2)),((10000000-'Sheet 2. County Level Data'!$P$12)*'Formula Calculations (LOCKED)'!J191/'Formula Calculations (LOCKED)'!$J$2))</f>
        <v>#DIV/0!</v>
      </c>
      <c r="M191" s="29" t="e">
        <f>IF('Formula Calculations (LOCKED)'!$G191=1,((0.5*'Sheet 2. County Level Data'!$P$12)*('Formula Calculations (LOCKED)'!K191/'Formula Calculations (LOCKED)'!$K$2))+((0.5*'Sheet 2. County Level Data'!$P$12)*('Formula Calculations (LOCKED)'!N191/'Formula Calculations (LOCKED)'!$N$2)),((0.5*(10000000-'Sheet 2. County Level Data'!$P$12))*('Formula Calculations (LOCKED)'!J191/'Formula Calculations (LOCKED)'!$J$2))+((0.5*(10000000-'Sheet 2. County Level Data'!$P$12))*('Formula Calculations (LOCKED)'!M191/'Formula Calculations (LOCKED)'!$M$2)))</f>
        <v>#DIV/0!</v>
      </c>
      <c r="N191" s="7"/>
    </row>
    <row r="192" spans="1:14" x14ac:dyDescent="0.2">
      <c r="A192" s="7"/>
      <c r="B192" s="29">
        <f>('Formula Calculations (LOCKED)'!C192*'Sheet 2. County Level Data'!$P$4)</f>
        <v>0</v>
      </c>
      <c r="C192" s="29" t="e">
        <f>'Formula Calculations (LOCKED)'!H192/'Formula Calculations (LOCKED)'!$H$2*'Sheet 2. County Level Data'!$P$4</f>
        <v>#DIV/0!</v>
      </c>
      <c r="D192" s="29" t="e">
        <f>('Formula Calculations (LOCKED)'!L192/'Formula Calculations (LOCKED)'!$L$2)*'Sheet 2. County Level Data'!$P$4</f>
        <v>#DIV/0!</v>
      </c>
      <c r="E192" s="29" t="e">
        <f>('Formula Calculations (LOCKED)'!O192/'Formula Calculations (LOCKED)'!$O$2)*'Sheet 2. County Level Data'!$P$4</f>
        <v>#DIV/0!</v>
      </c>
      <c r="F192" s="29" t="e">
        <f>('Formula Calculations (LOCKED)'!D192/'Formula Calculations (LOCKED)'!$D$2)*'Sheet 2. County Level Data'!$P$4</f>
        <v>#DIV/0!</v>
      </c>
      <c r="G192" s="29"/>
      <c r="H192" s="29"/>
      <c r="I192" s="7"/>
      <c r="J192" s="29"/>
      <c r="K192" s="29"/>
      <c r="L192" s="29" t="e">
        <f>IF('Formula Calculations (LOCKED)'!$G192=1,('Sheet 2. County Level Data'!$P$12*('Formula Calculations (LOCKED)'!K192/'Formula Calculations (LOCKED)'!$K$2)),((10000000-'Sheet 2. County Level Data'!$P$12)*'Formula Calculations (LOCKED)'!J192/'Formula Calculations (LOCKED)'!$J$2))</f>
        <v>#DIV/0!</v>
      </c>
      <c r="M192" s="29" t="e">
        <f>IF('Formula Calculations (LOCKED)'!$G192=1,((0.5*'Sheet 2. County Level Data'!$P$12)*('Formula Calculations (LOCKED)'!K192/'Formula Calculations (LOCKED)'!$K$2))+((0.5*'Sheet 2. County Level Data'!$P$12)*('Formula Calculations (LOCKED)'!N192/'Formula Calculations (LOCKED)'!$N$2)),((0.5*(10000000-'Sheet 2. County Level Data'!$P$12))*('Formula Calculations (LOCKED)'!J192/'Formula Calculations (LOCKED)'!$J$2))+((0.5*(10000000-'Sheet 2. County Level Data'!$P$12))*('Formula Calculations (LOCKED)'!M192/'Formula Calculations (LOCKED)'!$M$2)))</f>
        <v>#DIV/0!</v>
      </c>
      <c r="N192" s="7"/>
    </row>
    <row r="193" spans="1:14" x14ac:dyDescent="0.2">
      <c r="A193" s="7"/>
      <c r="B193" s="29">
        <f>('Formula Calculations (LOCKED)'!C193*'Sheet 2. County Level Data'!$P$4)</f>
        <v>0</v>
      </c>
      <c r="C193" s="29" t="e">
        <f>'Formula Calculations (LOCKED)'!H193/'Formula Calculations (LOCKED)'!$H$2*'Sheet 2. County Level Data'!$P$4</f>
        <v>#DIV/0!</v>
      </c>
      <c r="D193" s="29" t="e">
        <f>('Formula Calculations (LOCKED)'!L193/'Formula Calculations (LOCKED)'!$L$2)*'Sheet 2. County Level Data'!$P$4</f>
        <v>#DIV/0!</v>
      </c>
      <c r="E193" s="29" t="e">
        <f>('Formula Calculations (LOCKED)'!O193/'Formula Calculations (LOCKED)'!$O$2)*'Sheet 2. County Level Data'!$P$4</f>
        <v>#DIV/0!</v>
      </c>
      <c r="F193" s="29" t="e">
        <f>('Formula Calculations (LOCKED)'!D193/'Formula Calculations (LOCKED)'!$D$2)*'Sheet 2. County Level Data'!$P$4</f>
        <v>#DIV/0!</v>
      </c>
      <c r="G193" s="29"/>
      <c r="H193" s="29"/>
      <c r="I193" s="7"/>
      <c r="J193" s="29"/>
      <c r="K193" s="29"/>
      <c r="L193" s="29" t="e">
        <f>IF('Formula Calculations (LOCKED)'!$G193=1,('Sheet 2. County Level Data'!$P$12*('Formula Calculations (LOCKED)'!K193/'Formula Calculations (LOCKED)'!$K$2)),((10000000-'Sheet 2. County Level Data'!$P$12)*'Formula Calculations (LOCKED)'!J193/'Formula Calculations (LOCKED)'!$J$2))</f>
        <v>#DIV/0!</v>
      </c>
      <c r="M193" s="29" t="e">
        <f>IF('Formula Calculations (LOCKED)'!$G193=1,((0.5*'Sheet 2. County Level Data'!$P$12)*('Formula Calculations (LOCKED)'!K193/'Formula Calculations (LOCKED)'!$K$2))+((0.5*'Sheet 2. County Level Data'!$P$12)*('Formula Calculations (LOCKED)'!N193/'Formula Calculations (LOCKED)'!$N$2)),((0.5*(10000000-'Sheet 2. County Level Data'!$P$12))*('Formula Calculations (LOCKED)'!J193/'Formula Calculations (LOCKED)'!$J$2))+((0.5*(10000000-'Sheet 2. County Level Data'!$P$12))*('Formula Calculations (LOCKED)'!M193/'Formula Calculations (LOCKED)'!$M$2)))</f>
        <v>#DIV/0!</v>
      </c>
      <c r="N193" s="7"/>
    </row>
    <row r="194" spans="1:14" x14ac:dyDescent="0.2">
      <c r="A194" s="7"/>
      <c r="B194" s="29">
        <f>('Formula Calculations (LOCKED)'!C194*'Sheet 2. County Level Data'!$P$4)</f>
        <v>0</v>
      </c>
      <c r="C194" s="29" t="e">
        <f>'Formula Calculations (LOCKED)'!H194/'Formula Calculations (LOCKED)'!$H$2*'Sheet 2. County Level Data'!$P$4</f>
        <v>#DIV/0!</v>
      </c>
      <c r="D194" s="29" t="e">
        <f>('Formula Calculations (LOCKED)'!L194/'Formula Calculations (LOCKED)'!$L$2)*'Sheet 2. County Level Data'!$P$4</f>
        <v>#DIV/0!</v>
      </c>
      <c r="E194" s="29" t="e">
        <f>('Formula Calculations (LOCKED)'!O194/'Formula Calculations (LOCKED)'!$O$2)*'Sheet 2. County Level Data'!$P$4</f>
        <v>#DIV/0!</v>
      </c>
      <c r="F194" s="29" t="e">
        <f>('Formula Calculations (LOCKED)'!D194/'Formula Calculations (LOCKED)'!$D$2)*'Sheet 2. County Level Data'!$P$4</f>
        <v>#DIV/0!</v>
      </c>
      <c r="G194" s="29"/>
      <c r="H194" s="29"/>
      <c r="I194" s="7"/>
      <c r="J194" s="29"/>
      <c r="K194" s="29"/>
      <c r="L194" s="29" t="e">
        <f>IF('Formula Calculations (LOCKED)'!$G194=1,('Sheet 2. County Level Data'!$P$12*('Formula Calculations (LOCKED)'!K194/'Formula Calculations (LOCKED)'!$K$2)),((10000000-'Sheet 2. County Level Data'!$P$12)*'Formula Calculations (LOCKED)'!J194/'Formula Calculations (LOCKED)'!$J$2))</f>
        <v>#DIV/0!</v>
      </c>
      <c r="M194" s="29" t="e">
        <f>IF('Formula Calculations (LOCKED)'!$G194=1,((0.5*'Sheet 2. County Level Data'!$P$12)*('Formula Calculations (LOCKED)'!K194/'Formula Calculations (LOCKED)'!$K$2))+((0.5*'Sheet 2. County Level Data'!$P$12)*('Formula Calculations (LOCKED)'!N194/'Formula Calculations (LOCKED)'!$N$2)),((0.5*(10000000-'Sheet 2. County Level Data'!$P$12))*('Formula Calculations (LOCKED)'!J194/'Formula Calculations (LOCKED)'!$J$2))+((0.5*(10000000-'Sheet 2. County Level Data'!$P$12))*('Formula Calculations (LOCKED)'!M194/'Formula Calculations (LOCKED)'!$M$2)))</f>
        <v>#DIV/0!</v>
      </c>
      <c r="N194" s="7"/>
    </row>
    <row r="195" spans="1:14" x14ac:dyDescent="0.2">
      <c r="A195" s="7"/>
      <c r="B195" s="29">
        <f>('Formula Calculations (LOCKED)'!C195*'Sheet 2. County Level Data'!$P$4)</f>
        <v>0</v>
      </c>
      <c r="C195" s="29" t="e">
        <f>'Formula Calculations (LOCKED)'!H195/'Formula Calculations (LOCKED)'!$H$2*'Sheet 2. County Level Data'!$P$4</f>
        <v>#DIV/0!</v>
      </c>
      <c r="D195" s="29" t="e">
        <f>('Formula Calculations (LOCKED)'!L195/'Formula Calculations (LOCKED)'!$L$2)*'Sheet 2. County Level Data'!$P$4</f>
        <v>#DIV/0!</v>
      </c>
      <c r="E195" s="29" t="e">
        <f>('Formula Calculations (LOCKED)'!O195/'Formula Calculations (LOCKED)'!$O$2)*'Sheet 2. County Level Data'!$P$4</f>
        <v>#DIV/0!</v>
      </c>
      <c r="F195" s="29" t="e">
        <f>('Formula Calculations (LOCKED)'!D195/'Formula Calculations (LOCKED)'!$D$2)*'Sheet 2. County Level Data'!$P$4</f>
        <v>#DIV/0!</v>
      </c>
      <c r="G195" s="29"/>
      <c r="H195" s="29"/>
      <c r="I195" s="7"/>
      <c r="J195" s="29"/>
      <c r="K195" s="29"/>
      <c r="L195" s="29" t="e">
        <f>IF('Formula Calculations (LOCKED)'!$G195=1,('Sheet 2. County Level Data'!$P$12*('Formula Calculations (LOCKED)'!K195/'Formula Calculations (LOCKED)'!$K$2)),((10000000-'Sheet 2. County Level Data'!$P$12)*'Formula Calculations (LOCKED)'!J195/'Formula Calculations (LOCKED)'!$J$2))</f>
        <v>#DIV/0!</v>
      </c>
      <c r="M195" s="29" t="e">
        <f>IF('Formula Calculations (LOCKED)'!$G195=1,((0.5*'Sheet 2. County Level Data'!$P$12)*('Formula Calculations (LOCKED)'!K195/'Formula Calculations (LOCKED)'!$K$2))+((0.5*'Sheet 2. County Level Data'!$P$12)*('Formula Calculations (LOCKED)'!N195/'Formula Calculations (LOCKED)'!$N$2)),((0.5*(10000000-'Sheet 2. County Level Data'!$P$12))*('Formula Calculations (LOCKED)'!J195/'Formula Calculations (LOCKED)'!$J$2))+((0.5*(10000000-'Sheet 2. County Level Data'!$P$12))*('Formula Calculations (LOCKED)'!M195/'Formula Calculations (LOCKED)'!$M$2)))</f>
        <v>#DIV/0!</v>
      </c>
      <c r="N195" s="7"/>
    </row>
    <row r="196" spans="1:14" x14ac:dyDescent="0.2">
      <c r="A196" s="7"/>
      <c r="B196" s="29">
        <f>('Formula Calculations (LOCKED)'!C196*'Sheet 2. County Level Data'!$P$4)</f>
        <v>0</v>
      </c>
      <c r="C196" s="29" t="e">
        <f>'Formula Calculations (LOCKED)'!H196/'Formula Calculations (LOCKED)'!$H$2*'Sheet 2. County Level Data'!$P$4</f>
        <v>#DIV/0!</v>
      </c>
      <c r="D196" s="29" t="e">
        <f>('Formula Calculations (LOCKED)'!L196/'Formula Calculations (LOCKED)'!$L$2)*'Sheet 2. County Level Data'!$P$4</f>
        <v>#DIV/0!</v>
      </c>
      <c r="E196" s="29" t="e">
        <f>('Formula Calculations (LOCKED)'!O196/'Formula Calculations (LOCKED)'!$O$2)*'Sheet 2. County Level Data'!$P$4</f>
        <v>#DIV/0!</v>
      </c>
      <c r="F196" s="29" t="e">
        <f>('Formula Calculations (LOCKED)'!D196/'Formula Calculations (LOCKED)'!$D$2)*'Sheet 2. County Level Data'!$P$4</f>
        <v>#DIV/0!</v>
      </c>
      <c r="G196" s="29"/>
      <c r="H196" s="29"/>
      <c r="I196" s="7"/>
      <c r="J196" s="29"/>
      <c r="K196" s="29"/>
      <c r="L196" s="29" t="e">
        <f>IF('Formula Calculations (LOCKED)'!$G196=1,('Sheet 2. County Level Data'!$P$12*('Formula Calculations (LOCKED)'!K196/'Formula Calculations (LOCKED)'!$K$2)),((10000000-'Sheet 2. County Level Data'!$P$12)*'Formula Calculations (LOCKED)'!J196/'Formula Calculations (LOCKED)'!$J$2))</f>
        <v>#DIV/0!</v>
      </c>
      <c r="M196" s="29" t="e">
        <f>IF('Formula Calculations (LOCKED)'!$G196=1,((0.5*'Sheet 2. County Level Data'!$P$12)*('Formula Calculations (LOCKED)'!K196/'Formula Calculations (LOCKED)'!$K$2))+((0.5*'Sheet 2. County Level Data'!$P$12)*('Formula Calculations (LOCKED)'!N196/'Formula Calculations (LOCKED)'!$N$2)),((0.5*(10000000-'Sheet 2. County Level Data'!$P$12))*('Formula Calculations (LOCKED)'!J196/'Formula Calculations (LOCKED)'!$J$2))+((0.5*(10000000-'Sheet 2. County Level Data'!$P$12))*('Formula Calculations (LOCKED)'!M196/'Formula Calculations (LOCKED)'!$M$2)))</f>
        <v>#DIV/0!</v>
      </c>
      <c r="N196" s="7"/>
    </row>
    <row r="197" spans="1:14" x14ac:dyDescent="0.2">
      <c r="A197" s="7"/>
      <c r="B197" s="29">
        <f>('Formula Calculations (LOCKED)'!C197*'Sheet 2. County Level Data'!$P$4)</f>
        <v>0</v>
      </c>
      <c r="C197" s="29" t="e">
        <f>'Formula Calculations (LOCKED)'!H197/'Formula Calculations (LOCKED)'!$H$2*'Sheet 2. County Level Data'!$P$4</f>
        <v>#DIV/0!</v>
      </c>
      <c r="D197" s="29" t="e">
        <f>('Formula Calculations (LOCKED)'!L197/'Formula Calculations (LOCKED)'!$L$2)*'Sheet 2. County Level Data'!$P$4</f>
        <v>#DIV/0!</v>
      </c>
      <c r="E197" s="29" t="e">
        <f>('Formula Calculations (LOCKED)'!O197/'Formula Calculations (LOCKED)'!$O$2)*'Sheet 2. County Level Data'!$P$4</f>
        <v>#DIV/0!</v>
      </c>
      <c r="F197" s="29" t="e">
        <f>('Formula Calculations (LOCKED)'!D197/'Formula Calculations (LOCKED)'!$D$2)*'Sheet 2. County Level Data'!$P$4</f>
        <v>#DIV/0!</v>
      </c>
      <c r="G197" s="29"/>
      <c r="H197" s="29"/>
      <c r="I197" s="7"/>
      <c r="J197" s="29"/>
      <c r="K197" s="29"/>
      <c r="L197" s="29" t="e">
        <f>IF('Formula Calculations (LOCKED)'!$G197=1,('Sheet 2. County Level Data'!$P$12*('Formula Calculations (LOCKED)'!K197/'Formula Calculations (LOCKED)'!$K$2)),((10000000-'Sheet 2. County Level Data'!$P$12)*'Formula Calculations (LOCKED)'!J197/'Formula Calculations (LOCKED)'!$J$2))</f>
        <v>#DIV/0!</v>
      </c>
      <c r="M197" s="29" t="e">
        <f>IF('Formula Calculations (LOCKED)'!$G197=1,((0.5*'Sheet 2. County Level Data'!$P$12)*('Formula Calculations (LOCKED)'!K197/'Formula Calculations (LOCKED)'!$K$2))+((0.5*'Sheet 2. County Level Data'!$P$12)*('Formula Calculations (LOCKED)'!N197/'Formula Calculations (LOCKED)'!$N$2)),((0.5*(10000000-'Sheet 2. County Level Data'!$P$12))*('Formula Calculations (LOCKED)'!J197/'Formula Calculations (LOCKED)'!$J$2))+((0.5*(10000000-'Sheet 2. County Level Data'!$P$12))*('Formula Calculations (LOCKED)'!M197/'Formula Calculations (LOCKED)'!$M$2)))</f>
        <v>#DIV/0!</v>
      </c>
      <c r="N197" s="7"/>
    </row>
    <row r="198" spans="1:14" x14ac:dyDescent="0.2">
      <c r="A198" s="7"/>
      <c r="B198" s="29">
        <f>('Formula Calculations (LOCKED)'!C198*'Sheet 2. County Level Data'!$P$4)</f>
        <v>0</v>
      </c>
      <c r="C198" s="29" t="e">
        <f>'Formula Calculations (LOCKED)'!H198/'Formula Calculations (LOCKED)'!$H$2*'Sheet 2. County Level Data'!$P$4</f>
        <v>#DIV/0!</v>
      </c>
      <c r="D198" s="29" t="e">
        <f>('Formula Calculations (LOCKED)'!L198/'Formula Calculations (LOCKED)'!$L$2)*'Sheet 2. County Level Data'!$P$4</f>
        <v>#DIV/0!</v>
      </c>
      <c r="E198" s="29" t="e">
        <f>('Formula Calculations (LOCKED)'!O198/'Formula Calculations (LOCKED)'!$O$2)*'Sheet 2. County Level Data'!$P$4</f>
        <v>#DIV/0!</v>
      </c>
      <c r="F198" s="29" t="e">
        <f>('Formula Calculations (LOCKED)'!D198/'Formula Calculations (LOCKED)'!$D$2)*'Sheet 2. County Level Data'!$P$4</f>
        <v>#DIV/0!</v>
      </c>
      <c r="G198" s="29"/>
      <c r="H198" s="29"/>
      <c r="I198" s="7"/>
      <c r="J198" s="29"/>
      <c r="K198" s="29"/>
      <c r="L198" s="29" t="e">
        <f>IF('Formula Calculations (LOCKED)'!$G198=1,('Sheet 2. County Level Data'!$P$12*('Formula Calculations (LOCKED)'!K198/'Formula Calculations (LOCKED)'!$K$2)),((10000000-'Sheet 2. County Level Data'!$P$12)*'Formula Calculations (LOCKED)'!J198/'Formula Calculations (LOCKED)'!$J$2))</f>
        <v>#DIV/0!</v>
      </c>
      <c r="M198" s="29" t="e">
        <f>IF('Formula Calculations (LOCKED)'!$G198=1,((0.5*'Sheet 2. County Level Data'!$P$12)*('Formula Calculations (LOCKED)'!K198/'Formula Calculations (LOCKED)'!$K$2))+((0.5*'Sheet 2. County Level Data'!$P$12)*('Formula Calculations (LOCKED)'!N198/'Formula Calculations (LOCKED)'!$N$2)),((0.5*(10000000-'Sheet 2. County Level Data'!$P$12))*('Formula Calculations (LOCKED)'!J198/'Formula Calculations (LOCKED)'!$J$2))+((0.5*(10000000-'Sheet 2. County Level Data'!$P$12))*('Formula Calculations (LOCKED)'!M198/'Formula Calculations (LOCKED)'!$M$2)))</f>
        <v>#DIV/0!</v>
      </c>
      <c r="N198" s="7"/>
    </row>
    <row r="199" spans="1:14" x14ac:dyDescent="0.2">
      <c r="A199" s="7"/>
      <c r="B199" s="29">
        <f>('Formula Calculations (LOCKED)'!C199*'Sheet 2. County Level Data'!$P$4)</f>
        <v>0</v>
      </c>
      <c r="C199" s="29" t="e">
        <f>'Formula Calculations (LOCKED)'!H199/'Formula Calculations (LOCKED)'!$H$2*'Sheet 2. County Level Data'!$P$4</f>
        <v>#DIV/0!</v>
      </c>
      <c r="D199" s="29" t="e">
        <f>('Formula Calculations (LOCKED)'!L199/'Formula Calculations (LOCKED)'!$L$2)*'Sheet 2. County Level Data'!$P$4</f>
        <v>#DIV/0!</v>
      </c>
      <c r="E199" s="29" t="e">
        <f>('Formula Calculations (LOCKED)'!O199/'Formula Calculations (LOCKED)'!$O$2)*'Sheet 2. County Level Data'!$P$4</f>
        <v>#DIV/0!</v>
      </c>
      <c r="F199" s="29" t="e">
        <f>('Formula Calculations (LOCKED)'!D199/'Formula Calculations (LOCKED)'!$D$2)*'Sheet 2. County Level Data'!$P$4</f>
        <v>#DIV/0!</v>
      </c>
      <c r="G199" s="29"/>
      <c r="H199" s="29"/>
      <c r="I199" s="7"/>
      <c r="J199" s="29"/>
      <c r="K199" s="29"/>
      <c r="L199" s="29" t="e">
        <f>IF('Formula Calculations (LOCKED)'!$G199=1,('Sheet 2. County Level Data'!$P$12*('Formula Calculations (LOCKED)'!K199/'Formula Calculations (LOCKED)'!$K$2)),((10000000-'Sheet 2. County Level Data'!$P$12)*'Formula Calculations (LOCKED)'!J199/'Formula Calculations (LOCKED)'!$J$2))</f>
        <v>#DIV/0!</v>
      </c>
      <c r="M199" s="29" t="e">
        <f>IF('Formula Calculations (LOCKED)'!$G199=1,((0.5*'Sheet 2. County Level Data'!$P$12)*('Formula Calculations (LOCKED)'!K199/'Formula Calculations (LOCKED)'!$K$2))+((0.5*'Sheet 2. County Level Data'!$P$12)*('Formula Calculations (LOCKED)'!N199/'Formula Calculations (LOCKED)'!$N$2)),((0.5*(10000000-'Sheet 2. County Level Data'!$P$12))*('Formula Calculations (LOCKED)'!J199/'Formula Calculations (LOCKED)'!$J$2))+((0.5*(10000000-'Sheet 2. County Level Data'!$P$12))*('Formula Calculations (LOCKED)'!M199/'Formula Calculations (LOCKED)'!$M$2)))</f>
        <v>#DIV/0!</v>
      </c>
      <c r="N199" s="7"/>
    </row>
    <row r="200" spans="1:14" x14ac:dyDescent="0.2">
      <c r="A200" s="7"/>
      <c r="B200" s="29">
        <f>('Formula Calculations (LOCKED)'!C200*'Sheet 2. County Level Data'!$P$4)</f>
        <v>0</v>
      </c>
      <c r="C200" s="29" t="e">
        <f>'Formula Calculations (LOCKED)'!H200/'Formula Calculations (LOCKED)'!$H$2*'Sheet 2. County Level Data'!$P$4</f>
        <v>#DIV/0!</v>
      </c>
      <c r="D200" s="29" t="e">
        <f>('Formula Calculations (LOCKED)'!L200/'Formula Calculations (LOCKED)'!$L$2)*'Sheet 2. County Level Data'!$P$4</f>
        <v>#DIV/0!</v>
      </c>
      <c r="E200" s="29" t="e">
        <f>('Formula Calculations (LOCKED)'!O200/'Formula Calculations (LOCKED)'!$O$2)*'Sheet 2. County Level Data'!$P$4</f>
        <v>#DIV/0!</v>
      </c>
      <c r="F200" s="29" t="e">
        <f>('Formula Calculations (LOCKED)'!D200/'Formula Calculations (LOCKED)'!$D$2)*'Sheet 2. County Level Data'!$P$4</f>
        <v>#DIV/0!</v>
      </c>
      <c r="G200" s="29"/>
      <c r="H200" s="29"/>
      <c r="I200" s="7"/>
      <c r="J200" s="29"/>
      <c r="K200" s="29"/>
      <c r="L200" s="29" t="e">
        <f>IF('Formula Calculations (LOCKED)'!$G200=1,('Sheet 2. County Level Data'!$P$12*('Formula Calculations (LOCKED)'!K200/'Formula Calculations (LOCKED)'!$K$2)),((10000000-'Sheet 2. County Level Data'!$P$12)*'Formula Calculations (LOCKED)'!J200/'Formula Calculations (LOCKED)'!$J$2))</f>
        <v>#DIV/0!</v>
      </c>
      <c r="M200" s="29" t="e">
        <f>IF('Formula Calculations (LOCKED)'!$G200=1,((0.5*'Sheet 2. County Level Data'!$P$12)*('Formula Calculations (LOCKED)'!K200/'Formula Calculations (LOCKED)'!$K$2))+((0.5*'Sheet 2. County Level Data'!$P$12)*('Formula Calculations (LOCKED)'!N200/'Formula Calculations (LOCKED)'!$N$2)),((0.5*(10000000-'Sheet 2. County Level Data'!$P$12))*('Formula Calculations (LOCKED)'!J200/'Formula Calculations (LOCKED)'!$J$2))+((0.5*(10000000-'Sheet 2. County Level Data'!$P$12))*('Formula Calculations (LOCKED)'!M200/'Formula Calculations (LOCKED)'!$M$2)))</f>
        <v>#DIV/0!</v>
      </c>
      <c r="N200" s="7"/>
    </row>
    <row r="201" spans="1:14" x14ac:dyDescent="0.2">
      <c r="A201" s="7"/>
      <c r="B201" s="29">
        <f>('Formula Calculations (LOCKED)'!C201*'Sheet 2. County Level Data'!$P$4)</f>
        <v>0</v>
      </c>
      <c r="C201" s="29" t="e">
        <f>'Formula Calculations (LOCKED)'!H201/'Formula Calculations (LOCKED)'!$H$2*'Sheet 2. County Level Data'!$P$4</f>
        <v>#DIV/0!</v>
      </c>
      <c r="D201" s="29" t="e">
        <f>('Formula Calculations (LOCKED)'!L201/'Formula Calculations (LOCKED)'!$L$2)*'Sheet 2. County Level Data'!$P$4</f>
        <v>#DIV/0!</v>
      </c>
      <c r="E201" s="29" t="e">
        <f>('Formula Calculations (LOCKED)'!O201/'Formula Calculations (LOCKED)'!$O$2)*'Sheet 2. County Level Data'!$P$4</f>
        <v>#DIV/0!</v>
      </c>
      <c r="F201" s="29" t="e">
        <f>('Formula Calculations (LOCKED)'!D201/'Formula Calculations (LOCKED)'!$D$2)*'Sheet 2. County Level Data'!$P$4</f>
        <v>#DIV/0!</v>
      </c>
      <c r="G201" s="29"/>
      <c r="H201" s="29"/>
      <c r="I201" s="7"/>
      <c r="J201" s="29"/>
      <c r="K201" s="29"/>
      <c r="L201" s="29" t="e">
        <f>IF('Formula Calculations (LOCKED)'!$G201=1,('Sheet 2. County Level Data'!$P$12*('Formula Calculations (LOCKED)'!K201/'Formula Calculations (LOCKED)'!$K$2)),((10000000-'Sheet 2. County Level Data'!$P$12)*'Formula Calculations (LOCKED)'!J201/'Formula Calculations (LOCKED)'!$J$2))</f>
        <v>#DIV/0!</v>
      </c>
      <c r="M201" s="29" t="e">
        <f>IF('Formula Calculations (LOCKED)'!$G201=1,((0.5*'Sheet 2. County Level Data'!$P$12)*('Formula Calculations (LOCKED)'!K201/'Formula Calculations (LOCKED)'!$K$2))+((0.5*'Sheet 2. County Level Data'!$P$12)*('Formula Calculations (LOCKED)'!N201/'Formula Calculations (LOCKED)'!$N$2)),((0.5*(10000000-'Sheet 2. County Level Data'!$P$12))*('Formula Calculations (LOCKED)'!J201/'Formula Calculations (LOCKED)'!$J$2))+((0.5*(10000000-'Sheet 2. County Level Data'!$P$12))*('Formula Calculations (LOCKED)'!M201/'Formula Calculations (LOCKED)'!$M$2)))</f>
        <v>#DIV/0!</v>
      </c>
      <c r="N201" s="7"/>
    </row>
    <row r="202" spans="1:14" x14ac:dyDescent="0.2">
      <c r="A202" s="7"/>
      <c r="B202" s="29">
        <f>('Formula Calculations (LOCKED)'!C202*'Sheet 2. County Level Data'!$P$4)</f>
        <v>0</v>
      </c>
      <c r="C202" s="29" t="e">
        <f>'Formula Calculations (LOCKED)'!H202/'Formula Calculations (LOCKED)'!$H$2*'Sheet 2. County Level Data'!$P$4</f>
        <v>#DIV/0!</v>
      </c>
      <c r="D202" s="29" t="e">
        <f>('Formula Calculations (LOCKED)'!L202/'Formula Calculations (LOCKED)'!$L$2)*'Sheet 2. County Level Data'!$P$4</f>
        <v>#DIV/0!</v>
      </c>
      <c r="E202" s="29" t="e">
        <f>('Formula Calculations (LOCKED)'!O202/'Formula Calculations (LOCKED)'!$O$2)*'Sheet 2. County Level Data'!$P$4</f>
        <v>#DIV/0!</v>
      </c>
      <c r="F202" s="29" t="e">
        <f>('Formula Calculations (LOCKED)'!D202/'Formula Calculations (LOCKED)'!$D$2)*'Sheet 2. County Level Data'!$P$4</f>
        <v>#DIV/0!</v>
      </c>
      <c r="G202" s="29"/>
      <c r="H202" s="29"/>
      <c r="I202" s="7"/>
      <c r="J202" s="29"/>
      <c r="K202" s="29"/>
      <c r="L202" s="29" t="e">
        <f>IF('Formula Calculations (LOCKED)'!$G202=1,('Sheet 2. County Level Data'!$P$12*('Formula Calculations (LOCKED)'!K202/'Formula Calculations (LOCKED)'!$K$2)),((10000000-'Sheet 2. County Level Data'!$P$12)*'Formula Calculations (LOCKED)'!J202/'Formula Calculations (LOCKED)'!$J$2))</f>
        <v>#DIV/0!</v>
      </c>
      <c r="M202" s="29" t="e">
        <f>IF('Formula Calculations (LOCKED)'!$G202=1,((0.5*'Sheet 2. County Level Data'!$P$12)*('Formula Calculations (LOCKED)'!K202/'Formula Calculations (LOCKED)'!$K$2))+((0.5*'Sheet 2. County Level Data'!$P$12)*('Formula Calculations (LOCKED)'!N202/'Formula Calculations (LOCKED)'!$N$2)),((0.5*(10000000-'Sheet 2. County Level Data'!$P$12))*('Formula Calculations (LOCKED)'!J202/'Formula Calculations (LOCKED)'!$J$2))+((0.5*(10000000-'Sheet 2. County Level Data'!$P$12))*('Formula Calculations (LOCKED)'!M202/'Formula Calculations (LOCKED)'!$M$2)))</f>
        <v>#DIV/0!</v>
      </c>
      <c r="N202" s="7"/>
    </row>
    <row r="203" spans="1:14" x14ac:dyDescent="0.2">
      <c r="A203" s="7"/>
      <c r="B203" s="29">
        <f>('Formula Calculations (LOCKED)'!C203*'Sheet 2. County Level Data'!$P$4)</f>
        <v>0</v>
      </c>
      <c r="C203" s="29" t="e">
        <f>'Formula Calculations (LOCKED)'!H203/'Formula Calculations (LOCKED)'!$H$2*'Sheet 2. County Level Data'!$P$4</f>
        <v>#DIV/0!</v>
      </c>
      <c r="D203" s="29" t="e">
        <f>('Formula Calculations (LOCKED)'!L203/'Formula Calculations (LOCKED)'!$L$2)*'Sheet 2. County Level Data'!$P$4</f>
        <v>#DIV/0!</v>
      </c>
      <c r="E203" s="29" t="e">
        <f>('Formula Calculations (LOCKED)'!O203/'Formula Calculations (LOCKED)'!$O$2)*'Sheet 2. County Level Data'!$P$4</f>
        <v>#DIV/0!</v>
      </c>
      <c r="F203" s="29" t="e">
        <f>('Formula Calculations (LOCKED)'!D203/'Formula Calculations (LOCKED)'!$D$2)*'Sheet 2. County Level Data'!$P$4</f>
        <v>#DIV/0!</v>
      </c>
      <c r="G203" s="29"/>
      <c r="H203" s="29"/>
      <c r="I203" s="7"/>
      <c r="J203" s="29"/>
      <c r="K203" s="29"/>
      <c r="L203" s="29" t="e">
        <f>IF('Formula Calculations (LOCKED)'!$G203=1,('Sheet 2. County Level Data'!$P$12*('Formula Calculations (LOCKED)'!K203/'Formula Calculations (LOCKED)'!$K$2)),((10000000-'Sheet 2. County Level Data'!$P$12)*'Formula Calculations (LOCKED)'!J203/'Formula Calculations (LOCKED)'!$J$2))</f>
        <v>#DIV/0!</v>
      </c>
      <c r="M203" s="29" t="e">
        <f>IF('Formula Calculations (LOCKED)'!$G203=1,((0.5*'Sheet 2. County Level Data'!$P$12)*('Formula Calculations (LOCKED)'!K203/'Formula Calculations (LOCKED)'!$K$2))+((0.5*'Sheet 2. County Level Data'!$P$12)*('Formula Calculations (LOCKED)'!N203/'Formula Calculations (LOCKED)'!$N$2)),((0.5*(10000000-'Sheet 2. County Level Data'!$P$12))*('Formula Calculations (LOCKED)'!J203/'Formula Calculations (LOCKED)'!$J$2))+((0.5*(10000000-'Sheet 2. County Level Data'!$P$12))*('Formula Calculations (LOCKED)'!M203/'Formula Calculations (LOCKED)'!$M$2)))</f>
        <v>#DIV/0!</v>
      </c>
      <c r="N203" s="7"/>
    </row>
    <row r="204" spans="1:14" x14ac:dyDescent="0.2">
      <c r="A204" s="7"/>
      <c r="B204" s="29">
        <f>('Formula Calculations (LOCKED)'!C204*'Sheet 2. County Level Data'!$P$4)</f>
        <v>0</v>
      </c>
      <c r="C204" s="29" t="e">
        <f>'Formula Calculations (LOCKED)'!H204/'Formula Calculations (LOCKED)'!$H$2*'Sheet 2. County Level Data'!$P$4</f>
        <v>#DIV/0!</v>
      </c>
      <c r="D204" s="29" t="e">
        <f>('Formula Calculations (LOCKED)'!L204/'Formula Calculations (LOCKED)'!$L$2)*'Sheet 2. County Level Data'!$P$4</f>
        <v>#DIV/0!</v>
      </c>
      <c r="E204" s="29" t="e">
        <f>('Formula Calculations (LOCKED)'!O204/'Formula Calculations (LOCKED)'!$O$2)*'Sheet 2. County Level Data'!$P$4</f>
        <v>#DIV/0!</v>
      </c>
      <c r="F204" s="29" t="e">
        <f>('Formula Calculations (LOCKED)'!D204/'Formula Calculations (LOCKED)'!$D$2)*'Sheet 2. County Level Data'!$P$4</f>
        <v>#DIV/0!</v>
      </c>
      <c r="G204" s="29"/>
      <c r="H204" s="29"/>
      <c r="I204" s="7"/>
      <c r="J204" s="29"/>
      <c r="K204" s="29"/>
      <c r="L204" s="29" t="e">
        <f>IF('Formula Calculations (LOCKED)'!$G204=1,('Sheet 2. County Level Data'!$P$12*('Formula Calculations (LOCKED)'!K204/'Formula Calculations (LOCKED)'!$K$2)),((10000000-'Sheet 2. County Level Data'!$P$12)*'Formula Calculations (LOCKED)'!J204/'Formula Calculations (LOCKED)'!$J$2))</f>
        <v>#DIV/0!</v>
      </c>
      <c r="M204" s="29" t="e">
        <f>IF('Formula Calculations (LOCKED)'!$G204=1,((0.5*'Sheet 2. County Level Data'!$P$12)*('Formula Calculations (LOCKED)'!K204/'Formula Calculations (LOCKED)'!$K$2))+((0.5*'Sheet 2. County Level Data'!$P$12)*('Formula Calculations (LOCKED)'!N204/'Formula Calculations (LOCKED)'!$N$2)),((0.5*(10000000-'Sheet 2. County Level Data'!$P$12))*('Formula Calculations (LOCKED)'!J204/'Formula Calculations (LOCKED)'!$J$2))+((0.5*(10000000-'Sheet 2. County Level Data'!$P$12))*('Formula Calculations (LOCKED)'!M204/'Formula Calculations (LOCKED)'!$M$2)))</f>
        <v>#DIV/0!</v>
      </c>
      <c r="N204" s="7"/>
    </row>
    <row r="205" spans="1:14" x14ac:dyDescent="0.2">
      <c r="A205" s="7"/>
      <c r="B205" s="29">
        <f>('Formula Calculations (LOCKED)'!C205*'Sheet 2. County Level Data'!$P$4)</f>
        <v>0</v>
      </c>
      <c r="C205" s="29" t="e">
        <f>'Formula Calculations (LOCKED)'!H205/'Formula Calculations (LOCKED)'!$H$2*'Sheet 2. County Level Data'!$P$4</f>
        <v>#DIV/0!</v>
      </c>
      <c r="D205" s="29" t="e">
        <f>('Formula Calculations (LOCKED)'!L205/'Formula Calculations (LOCKED)'!$L$2)*'Sheet 2. County Level Data'!$P$4</f>
        <v>#DIV/0!</v>
      </c>
      <c r="E205" s="29" t="e">
        <f>('Formula Calculations (LOCKED)'!O205/'Formula Calculations (LOCKED)'!$O$2)*'Sheet 2. County Level Data'!$P$4</f>
        <v>#DIV/0!</v>
      </c>
      <c r="F205" s="29" t="e">
        <f>('Formula Calculations (LOCKED)'!D205/'Formula Calculations (LOCKED)'!$D$2)*'Sheet 2. County Level Data'!$P$4</f>
        <v>#DIV/0!</v>
      </c>
      <c r="G205" s="29"/>
      <c r="H205" s="29"/>
      <c r="I205" s="7"/>
      <c r="J205" s="29"/>
      <c r="K205" s="29"/>
      <c r="L205" s="29" t="e">
        <f>IF('Formula Calculations (LOCKED)'!$G205=1,('Sheet 2. County Level Data'!$P$12*('Formula Calculations (LOCKED)'!K205/'Formula Calculations (LOCKED)'!$K$2)),((10000000-'Sheet 2. County Level Data'!$P$12)*'Formula Calculations (LOCKED)'!J205/'Formula Calculations (LOCKED)'!$J$2))</f>
        <v>#DIV/0!</v>
      </c>
      <c r="M205" s="29" t="e">
        <f>IF('Formula Calculations (LOCKED)'!$G205=1,((0.5*'Sheet 2. County Level Data'!$P$12)*('Formula Calculations (LOCKED)'!K205/'Formula Calculations (LOCKED)'!$K$2))+((0.5*'Sheet 2. County Level Data'!$P$12)*('Formula Calculations (LOCKED)'!N205/'Formula Calculations (LOCKED)'!$N$2)),((0.5*(10000000-'Sheet 2. County Level Data'!$P$12))*('Formula Calculations (LOCKED)'!J205/'Formula Calculations (LOCKED)'!$J$2))+((0.5*(10000000-'Sheet 2. County Level Data'!$P$12))*('Formula Calculations (LOCKED)'!M205/'Formula Calculations (LOCKED)'!$M$2)))</f>
        <v>#DIV/0!</v>
      </c>
      <c r="N205" s="7"/>
    </row>
    <row r="206" spans="1:14" x14ac:dyDescent="0.2">
      <c r="A206" s="7"/>
      <c r="B206" s="29">
        <f>('Formula Calculations (LOCKED)'!C206*'Sheet 2. County Level Data'!$P$4)</f>
        <v>0</v>
      </c>
      <c r="C206" s="29" t="e">
        <f>'Formula Calculations (LOCKED)'!H206/'Formula Calculations (LOCKED)'!$H$2*'Sheet 2. County Level Data'!$P$4</f>
        <v>#DIV/0!</v>
      </c>
      <c r="D206" s="29" t="e">
        <f>('Formula Calculations (LOCKED)'!L206/'Formula Calculations (LOCKED)'!$L$2)*'Sheet 2. County Level Data'!$P$4</f>
        <v>#DIV/0!</v>
      </c>
      <c r="E206" s="29" t="e">
        <f>('Formula Calculations (LOCKED)'!O206/'Formula Calculations (LOCKED)'!$O$2)*'Sheet 2. County Level Data'!$P$4</f>
        <v>#DIV/0!</v>
      </c>
      <c r="F206" s="29" t="e">
        <f>('Formula Calculations (LOCKED)'!D206/'Formula Calculations (LOCKED)'!$D$2)*'Sheet 2. County Level Data'!$P$4</f>
        <v>#DIV/0!</v>
      </c>
      <c r="G206" s="29"/>
      <c r="H206" s="29"/>
      <c r="I206" s="7"/>
      <c r="J206" s="29"/>
      <c r="K206" s="29"/>
      <c r="L206" s="29" t="e">
        <f>IF('Formula Calculations (LOCKED)'!$G206=1,('Sheet 2. County Level Data'!$P$12*('Formula Calculations (LOCKED)'!K206/'Formula Calculations (LOCKED)'!$K$2)),((10000000-'Sheet 2. County Level Data'!$P$12)*'Formula Calculations (LOCKED)'!J206/'Formula Calculations (LOCKED)'!$J$2))</f>
        <v>#DIV/0!</v>
      </c>
      <c r="M206" s="29" t="e">
        <f>IF('Formula Calculations (LOCKED)'!$G206=1,((0.5*'Sheet 2. County Level Data'!$P$12)*('Formula Calculations (LOCKED)'!K206/'Formula Calculations (LOCKED)'!$K$2))+((0.5*'Sheet 2. County Level Data'!$P$12)*('Formula Calculations (LOCKED)'!N206/'Formula Calculations (LOCKED)'!$N$2)),((0.5*(10000000-'Sheet 2. County Level Data'!$P$12))*('Formula Calculations (LOCKED)'!J206/'Formula Calculations (LOCKED)'!$J$2))+((0.5*(10000000-'Sheet 2. County Level Data'!$P$12))*('Formula Calculations (LOCKED)'!M206/'Formula Calculations (LOCKED)'!$M$2)))</f>
        <v>#DIV/0!</v>
      </c>
      <c r="N206" s="7"/>
    </row>
    <row r="207" spans="1:14" x14ac:dyDescent="0.2">
      <c r="A207" s="7"/>
      <c r="B207" s="29">
        <f>('Formula Calculations (LOCKED)'!C207*'Sheet 2. County Level Data'!$P$4)</f>
        <v>0</v>
      </c>
      <c r="C207" s="29" t="e">
        <f>'Formula Calculations (LOCKED)'!H207/'Formula Calculations (LOCKED)'!$H$2*'Sheet 2. County Level Data'!$P$4</f>
        <v>#DIV/0!</v>
      </c>
      <c r="D207" s="29" t="e">
        <f>('Formula Calculations (LOCKED)'!L207/'Formula Calculations (LOCKED)'!$L$2)*'Sheet 2. County Level Data'!$P$4</f>
        <v>#DIV/0!</v>
      </c>
      <c r="E207" s="29" t="e">
        <f>('Formula Calculations (LOCKED)'!O207/'Formula Calculations (LOCKED)'!$O$2)*'Sheet 2. County Level Data'!$P$4</f>
        <v>#DIV/0!</v>
      </c>
      <c r="F207" s="29" t="e">
        <f>('Formula Calculations (LOCKED)'!D207/'Formula Calculations (LOCKED)'!$D$2)*'Sheet 2. County Level Data'!$P$4</f>
        <v>#DIV/0!</v>
      </c>
      <c r="G207" s="29"/>
      <c r="H207" s="29"/>
      <c r="I207" s="7"/>
      <c r="J207" s="29"/>
      <c r="K207" s="29"/>
      <c r="L207" s="29" t="e">
        <f>IF('Formula Calculations (LOCKED)'!$G207=1,('Sheet 2. County Level Data'!$P$12*('Formula Calculations (LOCKED)'!K207/'Formula Calculations (LOCKED)'!$K$2)),((10000000-'Sheet 2. County Level Data'!$P$12)*'Formula Calculations (LOCKED)'!J207/'Formula Calculations (LOCKED)'!$J$2))</f>
        <v>#DIV/0!</v>
      </c>
      <c r="M207" s="29" t="e">
        <f>IF('Formula Calculations (LOCKED)'!$G207=1,((0.5*'Sheet 2. County Level Data'!$P$12)*('Formula Calculations (LOCKED)'!K207/'Formula Calculations (LOCKED)'!$K$2))+((0.5*'Sheet 2. County Level Data'!$P$12)*('Formula Calculations (LOCKED)'!N207/'Formula Calculations (LOCKED)'!$N$2)),((0.5*(10000000-'Sheet 2. County Level Data'!$P$12))*('Formula Calculations (LOCKED)'!J207/'Formula Calculations (LOCKED)'!$J$2))+((0.5*(10000000-'Sheet 2. County Level Data'!$P$12))*('Formula Calculations (LOCKED)'!M207/'Formula Calculations (LOCKED)'!$M$2)))</f>
        <v>#DIV/0!</v>
      </c>
      <c r="N207" s="7"/>
    </row>
    <row r="208" spans="1:14" x14ac:dyDescent="0.2">
      <c r="A208" s="7"/>
      <c r="B208" s="29">
        <f>('Formula Calculations (LOCKED)'!C208*'Sheet 2. County Level Data'!$P$4)</f>
        <v>0</v>
      </c>
      <c r="C208" s="29" t="e">
        <f>'Formula Calculations (LOCKED)'!H208/'Formula Calculations (LOCKED)'!$H$2*'Sheet 2. County Level Data'!$P$4</f>
        <v>#DIV/0!</v>
      </c>
      <c r="D208" s="29" t="e">
        <f>('Formula Calculations (LOCKED)'!L208/'Formula Calculations (LOCKED)'!$L$2)*'Sheet 2. County Level Data'!$P$4</f>
        <v>#DIV/0!</v>
      </c>
      <c r="E208" s="29" t="e">
        <f>('Formula Calculations (LOCKED)'!O208/'Formula Calculations (LOCKED)'!$O$2)*'Sheet 2. County Level Data'!$P$4</f>
        <v>#DIV/0!</v>
      </c>
      <c r="F208" s="29" t="e">
        <f>('Formula Calculations (LOCKED)'!D208/'Formula Calculations (LOCKED)'!$D$2)*'Sheet 2. County Level Data'!$P$4</f>
        <v>#DIV/0!</v>
      </c>
      <c r="G208" s="29"/>
      <c r="H208" s="29"/>
      <c r="I208" s="7"/>
      <c r="J208" s="29"/>
      <c r="K208" s="29"/>
      <c r="L208" s="29" t="e">
        <f>IF('Formula Calculations (LOCKED)'!$G208=1,('Sheet 2. County Level Data'!$P$12*('Formula Calculations (LOCKED)'!K208/'Formula Calculations (LOCKED)'!$K$2)),((10000000-'Sheet 2. County Level Data'!$P$12)*'Formula Calculations (LOCKED)'!J208/'Formula Calculations (LOCKED)'!$J$2))</f>
        <v>#DIV/0!</v>
      </c>
      <c r="M208" s="29" t="e">
        <f>IF('Formula Calculations (LOCKED)'!$G208=1,((0.5*'Sheet 2. County Level Data'!$P$12)*('Formula Calculations (LOCKED)'!K208/'Formula Calculations (LOCKED)'!$K$2))+((0.5*'Sheet 2. County Level Data'!$P$12)*('Formula Calculations (LOCKED)'!N208/'Formula Calculations (LOCKED)'!$N$2)),((0.5*(10000000-'Sheet 2. County Level Data'!$P$12))*('Formula Calculations (LOCKED)'!J208/'Formula Calculations (LOCKED)'!$J$2))+((0.5*(10000000-'Sheet 2. County Level Data'!$P$12))*('Formula Calculations (LOCKED)'!M208/'Formula Calculations (LOCKED)'!$M$2)))</f>
        <v>#DIV/0!</v>
      </c>
      <c r="N208" s="7"/>
    </row>
    <row r="209" spans="1:14" x14ac:dyDescent="0.2">
      <c r="A209" s="7"/>
      <c r="B209" s="29">
        <f>('Formula Calculations (LOCKED)'!C209*'Sheet 2. County Level Data'!$P$4)</f>
        <v>0</v>
      </c>
      <c r="C209" s="29" t="e">
        <f>'Formula Calculations (LOCKED)'!H209/'Formula Calculations (LOCKED)'!$H$2*'Sheet 2. County Level Data'!$P$4</f>
        <v>#DIV/0!</v>
      </c>
      <c r="D209" s="29" t="e">
        <f>('Formula Calculations (LOCKED)'!L209/'Formula Calculations (LOCKED)'!$L$2)*'Sheet 2. County Level Data'!$P$4</f>
        <v>#DIV/0!</v>
      </c>
      <c r="E209" s="29" t="e">
        <f>('Formula Calculations (LOCKED)'!O209/'Formula Calculations (LOCKED)'!$O$2)*'Sheet 2. County Level Data'!$P$4</f>
        <v>#DIV/0!</v>
      </c>
      <c r="F209" s="29" t="e">
        <f>('Formula Calculations (LOCKED)'!D209/'Formula Calculations (LOCKED)'!$D$2)*'Sheet 2. County Level Data'!$P$4</f>
        <v>#DIV/0!</v>
      </c>
      <c r="G209" s="29"/>
      <c r="H209" s="29"/>
      <c r="I209" s="7"/>
      <c r="J209" s="29"/>
      <c r="K209" s="29"/>
      <c r="L209" s="29" t="e">
        <f>IF('Formula Calculations (LOCKED)'!$G209=1,('Sheet 2. County Level Data'!$P$12*('Formula Calculations (LOCKED)'!K209/'Formula Calculations (LOCKED)'!$K$2)),((10000000-'Sheet 2. County Level Data'!$P$12)*'Formula Calculations (LOCKED)'!J209/'Formula Calculations (LOCKED)'!$J$2))</f>
        <v>#DIV/0!</v>
      </c>
      <c r="M209" s="29" t="e">
        <f>IF('Formula Calculations (LOCKED)'!$G209=1,((0.5*'Sheet 2. County Level Data'!$P$12)*('Formula Calculations (LOCKED)'!K209/'Formula Calculations (LOCKED)'!$K$2))+((0.5*'Sheet 2. County Level Data'!$P$12)*('Formula Calculations (LOCKED)'!N209/'Formula Calculations (LOCKED)'!$N$2)),((0.5*(10000000-'Sheet 2. County Level Data'!$P$12))*('Formula Calculations (LOCKED)'!J209/'Formula Calculations (LOCKED)'!$J$2))+((0.5*(10000000-'Sheet 2. County Level Data'!$P$12))*('Formula Calculations (LOCKED)'!M209/'Formula Calculations (LOCKED)'!$M$2)))</f>
        <v>#DIV/0!</v>
      </c>
      <c r="N209" s="7"/>
    </row>
    <row r="210" spans="1:14" x14ac:dyDescent="0.2">
      <c r="A210" s="7"/>
      <c r="B210" s="29">
        <f>('Formula Calculations (LOCKED)'!C210*'Sheet 2. County Level Data'!$P$4)</f>
        <v>0</v>
      </c>
      <c r="C210" s="29" t="e">
        <f>'Formula Calculations (LOCKED)'!H210/'Formula Calculations (LOCKED)'!$H$2*'Sheet 2. County Level Data'!$P$4</f>
        <v>#DIV/0!</v>
      </c>
      <c r="D210" s="29" t="e">
        <f>('Formula Calculations (LOCKED)'!L210/'Formula Calculations (LOCKED)'!$L$2)*'Sheet 2. County Level Data'!$P$4</f>
        <v>#DIV/0!</v>
      </c>
      <c r="E210" s="29" t="e">
        <f>('Formula Calculations (LOCKED)'!O210/'Formula Calculations (LOCKED)'!$O$2)*'Sheet 2. County Level Data'!$P$4</f>
        <v>#DIV/0!</v>
      </c>
      <c r="F210" s="29" t="e">
        <f>('Formula Calculations (LOCKED)'!D210/'Formula Calculations (LOCKED)'!$D$2)*'Sheet 2. County Level Data'!$P$4</f>
        <v>#DIV/0!</v>
      </c>
      <c r="G210" s="29"/>
      <c r="H210" s="29"/>
      <c r="I210" s="7"/>
      <c r="J210" s="29"/>
      <c r="K210" s="29"/>
      <c r="L210" s="29" t="e">
        <f>IF('Formula Calculations (LOCKED)'!$G210=1,('Sheet 2. County Level Data'!$P$12*('Formula Calculations (LOCKED)'!K210/'Formula Calculations (LOCKED)'!$K$2)),((10000000-'Sheet 2. County Level Data'!$P$12)*'Formula Calculations (LOCKED)'!J210/'Formula Calculations (LOCKED)'!$J$2))</f>
        <v>#DIV/0!</v>
      </c>
      <c r="M210" s="29" t="e">
        <f>IF('Formula Calculations (LOCKED)'!$G210=1,((0.5*'Sheet 2. County Level Data'!$P$12)*('Formula Calculations (LOCKED)'!K210/'Formula Calculations (LOCKED)'!$K$2))+((0.5*'Sheet 2. County Level Data'!$P$12)*('Formula Calculations (LOCKED)'!N210/'Formula Calculations (LOCKED)'!$N$2)),((0.5*(10000000-'Sheet 2. County Level Data'!$P$12))*('Formula Calculations (LOCKED)'!J210/'Formula Calculations (LOCKED)'!$J$2))+((0.5*(10000000-'Sheet 2. County Level Data'!$P$12))*('Formula Calculations (LOCKED)'!M210/'Formula Calculations (LOCKED)'!$M$2)))</f>
        <v>#DIV/0!</v>
      </c>
      <c r="N210" s="7"/>
    </row>
    <row r="211" spans="1:14" x14ac:dyDescent="0.2">
      <c r="A211" s="7"/>
      <c r="B211" s="29">
        <f>('Formula Calculations (LOCKED)'!C211*'Sheet 2. County Level Data'!$P$4)</f>
        <v>0</v>
      </c>
      <c r="C211" s="29" t="e">
        <f>'Formula Calculations (LOCKED)'!H211/'Formula Calculations (LOCKED)'!$H$2*'Sheet 2. County Level Data'!$P$4</f>
        <v>#DIV/0!</v>
      </c>
      <c r="D211" s="29" t="e">
        <f>('Formula Calculations (LOCKED)'!L211/'Formula Calculations (LOCKED)'!$L$2)*'Sheet 2. County Level Data'!$P$4</f>
        <v>#DIV/0!</v>
      </c>
      <c r="E211" s="29" t="e">
        <f>('Formula Calculations (LOCKED)'!O211/'Formula Calculations (LOCKED)'!$O$2)*'Sheet 2. County Level Data'!$P$4</f>
        <v>#DIV/0!</v>
      </c>
      <c r="F211" s="29" t="e">
        <f>('Formula Calculations (LOCKED)'!D211/'Formula Calculations (LOCKED)'!$D$2)*'Sheet 2. County Level Data'!$P$4</f>
        <v>#DIV/0!</v>
      </c>
      <c r="G211" s="29"/>
      <c r="H211" s="29"/>
      <c r="I211" s="7"/>
      <c r="J211" s="29"/>
      <c r="K211" s="29"/>
      <c r="L211" s="29" t="e">
        <f>IF('Formula Calculations (LOCKED)'!$G211=1,('Sheet 2. County Level Data'!$P$12*('Formula Calculations (LOCKED)'!K211/'Formula Calculations (LOCKED)'!$K$2)),((10000000-'Sheet 2. County Level Data'!$P$12)*'Formula Calculations (LOCKED)'!J211/'Formula Calculations (LOCKED)'!$J$2))</f>
        <v>#DIV/0!</v>
      </c>
      <c r="M211" s="29" t="e">
        <f>IF('Formula Calculations (LOCKED)'!$G211=1,((0.5*'Sheet 2. County Level Data'!$P$12)*('Formula Calculations (LOCKED)'!K211/'Formula Calculations (LOCKED)'!$K$2))+((0.5*'Sheet 2. County Level Data'!$P$12)*('Formula Calculations (LOCKED)'!N211/'Formula Calculations (LOCKED)'!$N$2)),((0.5*(10000000-'Sheet 2. County Level Data'!$P$12))*('Formula Calculations (LOCKED)'!J211/'Formula Calculations (LOCKED)'!$J$2))+((0.5*(10000000-'Sheet 2. County Level Data'!$P$12))*('Formula Calculations (LOCKED)'!M211/'Formula Calculations (LOCKED)'!$M$2)))</f>
        <v>#DIV/0!</v>
      </c>
      <c r="N211" s="7"/>
    </row>
    <row r="212" spans="1:14" x14ac:dyDescent="0.2">
      <c r="A212" s="7"/>
      <c r="B212" s="29">
        <f>('Formula Calculations (LOCKED)'!C212*'Sheet 2. County Level Data'!$P$4)</f>
        <v>0</v>
      </c>
      <c r="C212" s="29" t="e">
        <f>'Formula Calculations (LOCKED)'!H212/'Formula Calculations (LOCKED)'!$H$2*'Sheet 2. County Level Data'!$P$4</f>
        <v>#DIV/0!</v>
      </c>
      <c r="D212" s="29" t="e">
        <f>('Formula Calculations (LOCKED)'!L212/'Formula Calculations (LOCKED)'!$L$2)*'Sheet 2. County Level Data'!$P$4</f>
        <v>#DIV/0!</v>
      </c>
      <c r="E212" s="29" t="e">
        <f>('Formula Calculations (LOCKED)'!O212/'Formula Calculations (LOCKED)'!$O$2)*'Sheet 2. County Level Data'!$P$4</f>
        <v>#DIV/0!</v>
      </c>
      <c r="F212" s="29" t="e">
        <f>('Formula Calculations (LOCKED)'!D212/'Formula Calculations (LOCKED)'!$D$2)*'Sheet 2. County Level Data'!$P$4</f>
        <v>#DIV/0!</v>
      </c>
      <c r="G212" s="29"/>
      <c r="H212" s="29"/>
      <c r="I212" s="7"/>
      <c r="J212" s="29"/>
      <c r="K212" s="29"/>
      <c r="L212" s="29" t="e">
        <f>IF('Formula Calculations (LOCKED)'!$G212=1,('Sheet 2. County Level Data'!$P$12*('Formula Calculations (LOCKED)'!K212/'Formula Calculations (LOCKED)'!$K$2)),((10000000-'Sheet 2. County Level Data'!$P$12)*'Formula Calculations (LOCKED)'!J212/'Formula Calculations (LOCKED)'!$J$2))</f>
        <v>#DIV/0!</v>
      </c>
      <c r="M212" s="29" t="e">
        <f>IF('Formula Calculations (LOCKED)'!$G212=1,((0.5*'Sheet 2. County Level Data'!$P$12)*('Formula Calculations (LOCKED)'!K212/'Formula Calculations (LOCKED)'!$K$2))+((0.5*'Sheet 2. County Level Data'!$P$12)*('Formula Calculations (LOCKED)'!N212/'Formula Calculations (LOCKED)'!$N$2)),((0.5*(10000000-'Sheet 2. County Level Data'!$P$12))*('Formula Calculations (LOCKED)'!J212/'Formula Calculations (LOCKED)'!$J$2))+((0.5*(10000000-'Sheet 2. County Level Data'!$P$12))*('Formula Calculations (LOCKED)'!M212/'Formula Calculations (LOCKED)'!$M$2)))</f>
        <v>#DIV/0!</v>
      </c>
      <c r="N212" s="7"/>
    </row>
    <row r="213" spans="1:14" x14ac:dyDescent="0.2">
      <c r="A213" s="7"/>
      <c r="B213" s="29">
        <f>('Formula Calculations (LOCKED)'!C213*'Sheet 2. County Level Data'!$P$4)</f>
        <v>0</v>
      </c>
      <c r="C213" s="29" t="e">
        <f>'Formula Calculations (LOCKED)'!H213/'Formula Calculations (LOCKED)'!$H$2*'Sheet 2. County Level Data'!$P$4</f>
        <v>#DIV/0!</v>
      </c>
      <c r="D213" s="29" t="e">
        <f>('Formula Calculations (LOCKED)'!L213/'Formula Calculations (LOCKED)'!$L$2)*'Sheet 2. County Level Data'!$P$4</f>
        <v>#DIV/0!</v>
      </c>
      <c r="E213" s="29" t="e">
        <f>('Formula Calculations (LOCKED)'!O213/'Formula Calculations (LOCKED)'!$O$2)*'Sheet 2. County Level Data'!$P$4</f>
        <v>#DIV/0!</v>
      </c>
      <c r="F213" s="29" t="e">
        <f>('Formula Calculations (LOCKED)'!D213/'Formula Calculations (LOCKED)'!$D$2)*'Sheet 2. County Level Data'!$P$4</f>
        <v>#DIV/0!</v>
      </c>
      <c r="G213" s="29"/>
      <c r="H213" s="29"/>
      <c r="I213" s="7"/>
      <c r="J213" s="29"/>
      <c r="K213" s="29"/>
      <c r="L213" s="29" t="e">
        <f>IF('Formula Calculations (LOCKED)'!$G213=1,('Sheet 2. County Level Data'!$P$12*('Formula Calculations (LOCKED)'!K213/'Formula Calculations (LOCKED)'!$K$2)),((10000000-'Sheet 2. County Level Data'!$P$12)*'Formula Calculations (LOCKED)'!J213/'Formula Calculations (LOCKED)'!$J$2))</f>
        <v>#DIV/0!</v>
      </c>
      <c r="M213" s="29" t="e">
        <f>IF('Formula Calculations (LOCKED)'!$G213=1,((0.5*'Sheet 2. County Level Data'!$P$12)*('Formula Calculations (LOCKED)'!K213/'Formula Calculations (LOCKED)'!$K$2))+((0.5*'Sheet 2. County Level Data'!$P$12)*('Formula Calculations (LOCKED)'!N213/'Formula Calculations (LOCKED)'!$N$2)),((0.5*(10000000-'Sheet 2. County Level Data'!$P$12))*('Formula Calculations (LOCKED)'!J213/'Formula Calculations (LOCKED)'!$J$2))+((0.5*(10000000-'Sheet 2. County Level Data'!$P$12))*('Formula Calculations (LOCKED)'!M213/'Formula Calculations (LOCKED)'!$M$2)))</f>
        <v>#DIV/0!</v>
      </c>
      <c r="N213" s="7"/>
    </row>
    <row r="214" spans="1:14" x14ac:dyDescent="0.2">
      <c r="A214" s="7"/>
      <c r="B214" s="29">
        <f>('Formula Calculations (LOCKED)'!C214*'Sheet 2. County Level Data'!$P$4)</f>
        <v>0</v>
      </c>
      <c r="C214" s="29" t="e">
        <f>'Formula Calculations (LOCKED)'!H214/'Formula Calculations (LOCKED)'!$H$2*'Sheet 2. County Level Data'!$P$4</f>
        <v>#DIV/0!</v>
      </c>
      <c r="D214" s="29" t="e">
        <f>('Formula Calculations (LOCKED)'!L214/'Formula Calculations (LOCKED)'!$L$2)*'Sheet 2. County Level Data'!$P$4</f>
        <v>#DIV/0!</v>
      </c>
      <c r="E214" s="29" t="e">
        <f>('Formula Calculations (LOCKED)'!O214/'Formula Calculations (LOCKED)'!$O$2)*'Sheet 2. County Level Data'!$P$4</f>
        <v>#DIV/0!</v>
      </c>
      <c r="F214" s="29" t="e">
        <f>('Formula Calculations (LOCKED)'!D214/'Formula Calculations (LOCKED)'!$D$2)*'Sheet 2. County Level Data'!$P$4</f>
        <v>#DIV/0!</v>
      </c>
      <c r="G214" s="29"/>
      <c r="H214" s="29"/>
      <c r="I214" s="7"/>
      <c r="J214" s="29"/>
      <c r="K214" s="29"/>
      <c r="L214" s="29" t="e">
        <f>IF('Formula Calculations (LOCKED)'!$G214=1,('Sheet 2. County Level Data'!$P$12*('Formula Calculations (LOCKED)'!K214/'Formula Calculations (LOCKED)'!$K$2)),((10000000-'Sheet 2. County Level Data'!$P$12)*'Formula Calculations (LOCKED)'!J214/'Formula Calculations (LOCKED)'!$J$2))</f>
        <v>#DIV/0!</v>
      </c>
      <c r="M214" s="29" t="e">
        <f>IF('Formula Calculations (LOCKED)'!$G214=1,((0.5*'Sheet 2. County Level Data'!$P$12)*('Formula Calculations (LOCKED)'!K214/'Formula Calculations (LOCKED)'!$K$2))+((0.5*'Sheet 2. County Level Data'!$P$12)*('Formula Calculations (LOCKED)'!N214/'Formula Calculations (LOCKED)'!$N$2)),((0.5*(10000000-'Sheet 2. County Level Data'!$P$12))*('Formula Calculations (LOCKED)'!J214/'Formula Calculations (LOCKED)'!$J$2))+((0.5*(10000000-'Sheet 2. County Level Data'!$P$12))*('Formula Calculations (LOCKED)'!M214/'Formula Calculations (LOCKED)'!$M$2)))</f>
        <v>#DIV/0!</v>
      </c>
      <c r="N214" s="7"/>
    </row>
    <row r="215" spans="1:14" x14ac:dyDescent="0.2">
      <c r="A215" s="7"/>
      <c r="B215" s="29">
        <f>('Formula Calculations (LOCKED)'!C215*'Sheet 2. County Level Data'!$P$4)</f>
        <v>0</v>
      </c>
      <c r="C215" s="29" t="e">
        <f>'Formula Calculations (LOCKED)'!H215/'Formula Calculations (LOCKED)'!$H$2*'Sheet 2. County Level Data'!$P$4</f>
        <v>#DIV/0!</v>
      </c>
      <c r="D215" s="29" t="e">
        <f>('Formula Calculations (LOCKED)'!L215/'Formula Calculations (LOCKED)'!$L$2)*'Sheet 2. County Level Data'!$P$4</f>
        <v>#DIV/0!</v>
      </c>
      <c r="E215" s="29" t="e">
        <f>('Formula Calculations (LOCKED)'!O215/'Formula Calculations (LOCKED)'!$O$2)*'Sheet 2. County Level Data'!$P$4</f>
        <v>#DIV/0!</v>
      </c>
      <c r="F215" s="29" t="e">
        <f>('Formula Calculations (LOCKED)'!D215/'Formula Calculations (LOCKED)'!$D$2)*'Sheet 2. County Level Data'!$P$4</f>
        <v>#DIV/0!</v>
      </c>
      <c r="G215" s="29"/>
      <c r="H215" s="29"/>
      <c r="I215" s="7"/>
      <c r="J215" s="29"/>
      <c r="K215" s="29"/>
      <c r="L215" s="29" t="e">
        <f>IF('Formula Calculations (LOCKED)'!$G215=1,('Sheet 2. County Level Data'!$P$12*('Formula Calculations (LOCKED)'!K215/'Formula Calculations (LOCKED)'!$K$2)),((10000000-'Sheet 2. County Level Data'!$P$12)*'Formula Calculations (LOCKED)'!J215/'Formula Calculations (LOCKED)'!$J$2))</f>
        <v>#DIV/0!</v>
      </c>
      <c r="M215" s="29" t="e">
        <f>IF('Formula Calculations (LOCKED)'!$G215=1,((0.5*'Sheet 2. County Level Data'!$P$12)*('Formula Calculations (LOCKED)'!K215/'Formula Calculations (LOCKED)'!$K$2))+((0.5*'Sheet 2. County Level Data'!$P$12)*('Formula Calculations (LOCKED)'!N215/'Formula Calculations (LOCKED)'!$N$2)),((0.5*(10000000-'Sheet 2. County Level Data'!$P$12))*('Formula Calculations (LOCKED)'!J215/'Formula Calculations (LOCKED)'!$J$2))+((0.5*(10000000-'Sheet 2. County Level Data'!$P$12))*('Formula Calculations (LOCKED)'!M215/'Formula Calculations (LOCKED)'!$M$2)))</f>
        <v>#DIV/0!</v>
      </c>
      <c r="N215" s="7"/>
    </row>
    <row r="216" spans="1:14" x14ac:dyDescent="0.2">
      <c r="A216" s="7"/>
      <c r="B216" s="29">
        <f>('Formula Calculations (LOCKED)'!C216*'Sheet 2. County Level Data'!$P$4)</f>
        <v>0</v>
      </c>
      <c r="C216" s="29" t="e">
        <f>'Formula Calculations (LOCKED)'!H216/'Formula Calculations (LOCKED)'!$H$2*'Sheet 2. County Level Data'!$P$4</f>
        <v>#DIV/0!</v>
      </c>
      <c r="D216" s="29" t="e">
        <f>('Formula Calculations (LOCKED)'!L216/'Formula Calculations (LOCKED)'!$L$2)*'Sheet 2. County Level Data'!$P$4</f>
        <v>#DIV/0!</v>
      </c>
      <c r="E216" s="29" t="e">
        <f>('Formula Calculations (LOCKED)'!O216/'Formula Calculations (LOCKED)'!$O$2)*'Sheet 2. County Level Data'!$P$4</f>
        <v>#DIV/0!</v>
      </c>
      <c r="F216" s="29" t="e">
        <f>('Formula Calculations (LOCKED)'!D216/'Formula Calculations (LOCKED)'!$D$2)*'Sheet 2. County Level Data'!$P$4</f>
        <v>#DIV/0!</v>
      </c>
      <c r="G216" s="29"/>
      <c r="H216" s="29"/>
      <c r="I216" s="7"/>
      <c r="J216" s="29"/>
      <c r="K216" s="29"/>
      <c r="L216" s="29" t="e">
        <f>IF('Formula Calculations (LOCKED)'!$G216=1,('Sheet 2. County Level Data'!$P$12*('Formula Calculations (LOCKED)'!K216/'Formula Calculations (LOCKED)'!$K$2)),((10000000-'Sheet 2. County Level Data'!$P$12)*'Formula Calculations (LOCKED)'!J216/'Formula Calculations (LOCKED)'!$J$2))</f>
        <v>#DIV/0!</v>
      </c>
      <c r="M216" s="29" t="e">
        <f>IF('Formula Calculations (LOCKED)'!$G216=1,((0.5*'Sheet 2. County Level Data'!$P$12)*('Formula Calculations (LOCKED)'!K216/'Formula Calculations (LOCKED)'!$K$2))+((0.5*'Sheet 2. County Level Data'!$P$12)*('Formula Calculations (LOCKED)'!N216/'Formula Calculations (LOCKED)'!$N$2)),((0.5*(10000000-'Sheet 2. County Level Data'!$P$12))*('Formula Calculations (LOCKED)'!J216/'Formula Calculations (LOCKED)'!$J$2))+((0.5*(10000000-'Sheet 2. County Level Data'!$P$12))*('Formula Calculations (LOCKED)'!M216/'Formula Calculations (LOCKED)'!$M$2)))</f>
        <v>#DIV/0!</v>
      </c>
      <c r="N216" s="7"/>
    </row>
    <row r="217" spans="1:14" x14ac:dyDescent="0.2">
      <c r="A217" s="7"/>
      <c r="B217" s="29">
        <f>('Formula Calculations (LOCKED)'!C217*'Sheet 2. County Level Data'!$P$4)</f>
        <v>0</v>
      </c>
      <c r="C217" s="29" t="e">
        <f>'Formula Calculations (LOCKED)'!H217/'Formula Calculations (LOCKED)'!$H$2*'Sheet 2. County Level Data'!$P$4</f>
        <v>#DIV/0!</v>
      </c>
      <c r="D217" s="29" t="e">
        <f>('Formula Calculations (LOCKED)'!L217/'Formula Calculations (LOCKED)'!$L$2)*'Sheet 2. County Level Data'!$P$4</f>
        <v>#DIV/0!</v>
      </c>
      <c r="E217" s="29" t="e">
        <f>('Formula Calculations (LOCKED)'!O217/'Formula Calculations (LOCKED)'!$O$2)*'Sheet 2. County Level Data'!$P$4</f>
        <v>#DIV/0!</v>
      </c>
      <c r="F217" s="29" t="e">
        <f>('Formula Calculations (LOCKED)'!D217/'Formula Calculations (LOCKED)'!$D$2)*'Sheet 2. County Level Data'!$P$4</f>
        <v>#DIV/0!</v>
      </c>
      <c r="G217" s="29"/>
      <c r="H217" s="29"/>
      <c r="I217" s="7"/>
      <c r="J217" s="29"/>
      <c r="K217" s="29"/>
      <c r="L217" s="29" t="e">
        <f>IF('Formula Calculations (LOCKED)'!$G217=1,('Sheet 2. County Level Data'!$P$12*('Formula Calculations (LOCKED)'!K217/'Formula Calculations (LOCKED)'!$K$2)),((10000000-'Sheet 2. County Level Data'!$P$12)*'Formula Calculations (LOCKED)'!J217/'Formula Calculations (LOCKED)'!$J$2))</f>
        <v>#DIV/0!</v>
      </c>
      <c r="M217" s="29" t="e">
        <f>IF('Formula Calculations (LOCKED)'!$G217=1,((0.5*'Sheet 2. County Level Data'!$P$12)*('Formula Calculations (LOCKED)'!K217/'Formula Calculations (LOCKED)'!$K$2))+((0.5*'Sheet 2. County Level Data'!$P$12)*('Formula Calculations (LOCKED)'!N217/'Formula Calculations (LOCKED)'!$N$2)),((0.5*(10000000-'Sheet 2. County Level Data'!$P$12))*('Formula Calculations (LOCKED)'!J217/'Formula Calculations (LOCKED)'!$J$2))+((0.5*(10000000-'Sheet 2. County Level Data'!$P$12))*('Formula Calculations (LOCKED)'!M217/'Formula Calculations (LOCKED)'!$M$2)))</f>
        <v>#DIV/0!</v>
      </c>
      <c r="N217" s="7"/>
    </row>
    <row r="218" spans="1:14" x14ac:dyDescent="0.2">
      <c r="A218" s="7"/>
      <c r="B218" s="29">
        <f>('Formula Calculations (LOCKED)'!C218*'Sheet 2. County Level Data'!$P$4)</f>
        <v>0</v>
      </c>
      <c r="C218" s="29" t="e">
        <f>'Formula Calculations (LOCKED)'!H218/'Formula Calculations (LOCKED)'!$H$2*'Sheet 2. County Level Data'!$P$4</f>
        <v>#DIV/0!</v>
      </c>
      <c r="D218" s="29" t="e">
        <f>('Formula Calculations (LOCKED)'!L218/'Formula Calculations (LOCKED)'!$L$2)*'Sheet 2. County Level Data'!$P$4</f>
        <v>#DIV/0!</v>
      </c>
      <c r="E218" s="29" t="e">
        <f>('Formula Calculations (LOCKED)'!O218/'Formula Calculations (LOCKED)'!$O$2)*'Sheet 2. County Level Data'!$P$4</f>
        <v>#DIV/0!</v>
      </c>
      <c r="F218" s="29" t="e">
        <f>('Formula Calculations (LOCKED)'!D218/'Formula Calculations (LOCKED)'!$D$2)*'Sheet 2. County Level Data'!$P$4</f>
        <v>#DIV/0!</v>
      </c>
      <c r="G218" s="29"/>
      <c r="H218" s="29"/>
      <c r="I218" s="7"/>
      <c r="J218" s="29"/>
      <c r="K218" s="29"/>
      <c r="L218" s="29" t="e">
        <f>IF('Formula Calculations (LOCKED)'!$G218=1,('Sheet 2. County Level Data'!$P$12*('Formula Calculations (LOCKED)'!K218/'Formula Calculations (LOCKED)'!$K$2)),((10000000-'Sheet 2. County Level Data'!$P$12)*'Formula Calculations (LOCKED)'!J218/'Formula Calculations (LOCKED)'!$J$2))</f>
        <v>#DIV/0!</v>
      </c>
      <c r="M218" s="29" t="e">
        <f>IF('Formula Calculations (LOCKED)'!$G218=1,((0.5*'Sheet 2. County Level Data'!$P$12)*('Formula Calculations (LOCKED)'!K218/'Formula Calculations (LOCKED)'!$K$2))+((0.5*'Sheet 2. County Level Data'!$P$12)*('Formula Calculations (LOCKED)'!N218/'Formula Calculations (LOCKED)'!$N$2)),((0.5*(10000000-'Sheet 2. County Level Data'!$P$12))*('Formula Calculations (LOCKED)'!J218/'Formula Calculations (LOCKED)'!$J$2))+((0.5*(10000000-'Sheet 2. County Level Data'!$P$12))*('Formula Calculations (LOCKED)'!M218/'Formula Calculations (LOCKED)'!$M$2)))</f>
        <v>#DIV/0!</v>
      </c>
      <c r="N218" s="7"/>
    </row>
    <row r="219" spans="1:14" x14ac:dyDescent="0.2">
      <c r="A219" s="7"/>
      <c r="B219" s="29">
        <f>('Formula Calculations (LOCKED)'!C219*'Sheet 2. County Level Data'!$P$4)</f>
        <v>0</v>
      </c>
      <c r="C219" s="29" t="e">
        <f>'Formula Calculations (LOCKED)'!H219/'Formula Calculations (LOCKED)'!$H$2*'Sheet 2. County Level Data'!$P$4</f>
        <v>#DIV/0!</v>
      </c>
      <c r="D219" s="29" t="e">
        <f>('Formula Calculations (LOCKED)'!L219/'Formula Calculations (LOCKED)'!$L$2)*'Sheet 2. County Level Data'!$P$4</f>
        <v>#DIV/0!</v>
      </c>
      <c r="E219" s="29" t="e">
        <f>('Formula Calculations (LOCKED)'!O219/'Formula Calculations (LOCKED)'!$O$2)*'Sheet 2. County Level Data'!$P$4</f>
        <v>#DIV/0!</v>
      </c>
      <c r="F219" s="29" t="e">
        <f>('Formula Calculations (LOCKED)'!D219/'Formula Calculations (LOCKED)'!$D$2)*'Sheet 2. County Level Data'!$P$4</f>
        <v>#DIV/0!</v>
      </c>
      <c r="G219" s="29"/>
      <c r="H219" s="29"/>
      <c r="I219" s="7"/>
      <c r="J219" s="29"/>
      <c r="K219" s="29"/>
      <c r="L219" s="29" t="e">
        <f>IF('Formula Calculations (LOCKED)'!$G219=1,('Sheet 2. County Level Data'!$P$12*('Formula Calculations (LOCKED)'!K219/'Formula Calculations (LOCKED)'!$K$2)),((10000000-'Sheet 2. County Level Data'!$P$12)*'Formula Calculations (LOCKED)'!J219/'Formula Calculations (LOCKED)'!$J$2))</f>
        <v>#DIV/0!</v>
      </c>
      <c r="M219" s="29" t="e">
        <f>IF('Formula Calculations (LOCKED)'!$G219=1,((0.5*'Sheet 2. County Level Data'!$P$12)*('Formula Calculations (LOCKED)'!K219/'Formula Calculations (LOCKED)'!$K$2))+((0.5*'Sheet 2. County Level Data'!$P$12)*('Formula Calculations (LOCKED)'!N219/'Formula Calculations (LOCKED)'!$N$2)),((0.5*(10000000-'Sheet 2. County Level Data'!$P$12))*('Formula Calculations (LOCKED)'!J219/'Formula Calculations (LOCKED)'!$J$2))+((0.5*(10000000-'Sheet 2. County Level Data'!$P$12))*('Formula Calculations (LOCKED)'!M219/'Formula Calculations (LOCKED)'!$M$2)))</f>
        <v>#DIV/0!</v>
      </c>
      <c r="N219" s="7"/>
    </row>
    <row r="220" spans="1:14" x14ac:dyDescent="0.2">
      <c r="A220" s="7"/>
      <c r="B220" s="29">
        <f>('Formula Calculations (LOCKED)'!C220*'Sheet 2. County Level Data'!$P$4)</f>
        <v>0</v>
      </c>
      <c r="C220" s="29" t="e">
        <f>'Formula Calculations (LOCKED)'!H220/'Formula Calculations (LOCKED)'!$H$2*'Sheet 2. County Level Data'!$P$4</f>
        <v>#DIV/0!</v>
      </c>
      <c r="D220" s="29" t="e">
        <f>('Formula Calculations (LOCKED)'!L220/'Formula Calculations (LOCKED)'!$L$2)*'Sheet 2. County Level Data'!$P$4</f>
        <v>#DIV/0!</v>
      </c>
      <c r="E220" s="29" t="e">
        <f>('Formula Calculations (LOCKED)'!O220/'Formula Calculations (LOCKED)'!$O$2)*'Sheet 2. County Level Data'!$P$4</f>
        <v>#DIV/0!</v>
      </c>
      <c r="F220" s="29" t="e">
        <f>('Formula Calculations (LOCKED)'!D220/'Formula Calculations (LOCKED)'!$D$2)*'Sheet 2. County Level Data'!$P$4</f>
        <v>#DIV/0!</v>
      </c>
      <c r="G220" s="29"/>
      <c r="H220" s="29"/>
      <c r="I220" s="7"/>
      <c r="J220" s="29"/>
      <c r="K220" s="29"/>
      <c r="L220" s="29" t="e">
        <f>IF('Formula Calculations (LOCKED)'!$G220=1,('Sheet 2. County Level Data'!$P$12*('Formula Calculations (LOCKED)'!K220/'Formula Calculations (LOCKED)'!$K$2)),((10000000-'Sheet 2. County Level Data'!$P$12)*'Formula Calculations (LOCKED)'!J220/'Formula Calculations (LOCKED)'!$J$2))</f>
        <v>#DIV/0!</v>
      </c>
      <c r="M220" s="29" t="e">
        <f>IF('Formula Calculations (LOCKED)'!$G220=1,((0.5*'Sheet 2. County Level Data'!$P$12)*('Formula Calculations (LOCKED)'!K220/'Formula Calculations (LOCKED)'!$K$2))+((0.5*'Sheet 2. County Level Data'!$P$12)*('Formula Calculations (LOCKED)'!N220/'Formula Calculations (LOCKED)'!$N$2)),((0.5*(10000000-'Sheet 2. County Level Data'!$P$12))*('Formula Calculations (LOCKED)'!J220/'Formula Calculations (LOCKED)'!$J$2))+((0.5*(10000000-'Sheet 2. County Level Data'!$P$12))*('Formula Calculations (LOCKED)'!M220/'Formula Calculations (LOCKED)'!$M$2)))</f>
        <v>#DIV/0!</v>
      </c>
      <c r="N220" s="7"/>
    </row>
    <row r="221" spans="1:14" x14ac:dyDescent="0.2">
      <c r="A221" s="7"/>
      <c r="B221" s="29">
        <f>('Formula Calculations (LOCKED)'!C221*'Sheet 2. County Level Data'!$P$4)</f>
        <v>0</v>
      </c>
      <c r="C221" s="29" t="e">
        <f>'Formula Calculations (LOCKED)'!H221/'Formula Calculations (LOCKED)'!$H$2*'Sheet 2. County Level Data'!$P$4</f>
        <v>#DIV/0!</v>
      </c>
      <c r="D221" s="29" t="e">
        <f>('Formula Calculations (LOCKED)'!L221/'Formula Calculations (LOCKED)'!$L$2)*'Sheet 2. County Level Data'!$P$4</f>
        <v>#DIV/0!</v>
      </c>
      <c r="E221" s="29" t="e">
        <f>('Formula Calculations (LOCKED)'!O221/'Formula Calculations (LOCKED)'!$O$2)*'Sheet 2. County Level Data'!$P$4</f>
        <v>#DIV/0!</v>
      </c>
      <c r="F221" s="29" t="e">
        <f>('Formula Calculations (LOCKED)'!D221/'Formula Calculations (LOCKED)'!$D$2)*'Sheet 2. County Level Data'!$P$4</f>
        <v>#DIV/0!</v>
      </c>
      <c r="G221" s="29"/>
      <c r="H221" s="29"/>
      <c r="I221" s="7"/>
      <c r="J221" s="29"/>
      <c r="K221" s="29"/>
      <c r="L221" s="29" t="e">
        <f>IF('Formula Calculations (LOCKED)'!$G221=1,('Sheet 2. County Level Data'!$P$12*('Formula Calculations (LOCKED)'!K221/'Formula Calculations (LOCKED)'!$K$2)),((10000000-'Sheet 2. County Level Data'!$P$12)*'Formula Calculations (LOCKED)'!J221/'Formula Calculations (LOCKED)'!$J$2))</f>
        <v>#DIV/0!</v>
      </c>
      <c r="M221" s="29" t="e">
        <f>IF('Formula Calculations (LOCKED)'!$G221=1,((0.5*'Sheet 2. County Level Data'!$P$12)*('Formula Calculations (LOCKED)'!K221/'Formula Calculations (LOCKED)'!$K$2))+((0.5*'Sheet 2. County Level Data'!$P$12)*('Formula Calculations (LOCKED)'!N221/'Formula Calculations (LOCKED)'!$N$2)),((0.5*(10000000-'Sheet 2. County Level Data'!$P$12))*('Formula Calculations (LOCKED)'!J221/'Formula Calculations (LOCKED)'!$J$2))+((0.5*(10000000-'Sheet 2. County Level Data'!$P$12))*('Formula Calculations (LOCKED)'!M221/'Formula Calculations (LOCKED)'!$M$2)))</f>
        <v>#DIV/0!</v>
      </c>
      <c r="N221" s="7"/>
    </row>
    <row r="222" spans="1:14" x14ac:dyDescent="0.2">
      <c r="A222" s="7"/>
      <c r="B222" s="29">
        <f>('Formula Calculations (LOCKED)'!C222*'Sheet 2. County Level Data'!$P$4)</f>
        <v>0</v>
      </c>
      <c r="C222" s="29" t="e">
        <f>'Formula Calculations (LOCKED)'!H222/'Formula Calculations (LOCKED)'!$H$2*'Sheet 2. County Level Data'!$P$4</f>
        <v>#DIV/0!</v>
      </c>
      <c r="D222" s="29" t="e">
        <f>('Formula Calculations (LOCKED)'!L222/'Formula Calculations (LOCKED)'!$L$2)*'Sheet 2. County Level Data'!$P$4</f>
        <v>#DIV/0!</v>
      </c>
      <c r="E222" s="29" t="e">
        <f>('Formula Calculations (LOCKED)'!O222/'Formula Calculations (LOCKED)'!$O$2)*'Sheet 2. County Level Data'!$P$4</f>
        <v>#DIV/0!</v>
      </c>
      <c r="F222" s="29" t="e">
        <f>('Formula Calculations (LOCKED)'!D222/'Formula Calculations (LOCKED)'!$D$2)*'Sheet 2. County Level Data'!$P$4</f>
        <v>#DIV/0!</v>
      </c>
      <c r="G222" s="29"/>
      <c r="H222" s="29"/>
      <c r="I222" s="7"/>
      <c r="J222" s="29"/>
      <c r="K222" s="29"/>
      <c r="L222" s="29" t="e">
        <f>IF('Formula Calculations (LOCKED)'!$G222=1,('Sheet 2. County Level Data'!$P$12*('Formula Calculations (LOCKED)'!K222/'Formula Calculations (LOCKED)'!$K$2)),((10000000-'Sheet 2. County Level Data'!$P$12)*'Formula Calculations (LOCKED)'!J222/'Formula Calculations (LOCKED)'!$J$2))</f>
        <v>#DIV/0!</v>
      </c>
      <c r="M222" s="29" t="e">
        <f>IF('Formula Calculations (LOCKED)'!$G222=1,((0.5*'Sheet 2. County Level Data'!$P$12)*('Formula Calculations (LOCKED)'!K222/'Formula Calculations (LOCKED)'!$K$2))+((0.5*'Sheet 2. County Level Data'!$P$12)*('Formula Calculations (LOCKED)'!N222/'Formula Calculations (LOCKED)'!$N$2)),((0.5*(10000000-'Sheet 2. County Level Data'!$P$12))*('Formula Calculations (LOCKED)'!J222/'Formula Calculations (LOCKED)'!$J$2))+((0.5*(10000000-'Sheet 2. County Level Data'!$P$12))*('Formula Calculations (LOCKED)'!M222/'Formula Calculations (LOCKED)'!$M$2)))</f>
        <v>#DIV/0!</v>
      </c>
      <c r="N222" s="7"/>
    </row>
    <row r="223" spans="1:14" x14ac:dyDescent="0.2">
      <c r="A223" s="7"/>
      <c r="B223" s="29">
        <f>('Formula Calculations (LOCKED)'!C223*'Sheet 2. County Level Data'!$P$4)</f>
        <v>0</v>
      </c>
      <c r="C223" s="29" t="e">
        <f>'Formula Calculations (LOCKED)'!H223/'Formula Calculations (LOCKED)'!$H$2*'Sheet 2. County Level Data'!$P$4</f>
        <v>#DIV/0!</v>
      </c>
      <c r="D223" s="29" t="e">
        <f>('Formula Calculations (LOCKED)'!L223/'Formula Calculations (LOCKED)'!$L$2)*'Sheet 2. County Level Data'!$P$4</f>
        <v>#DIV/0!</v>
      </c>
      <c r="E223" s="29" t="e">
        <f>('Formula Calculations (LOCKED)'!O223/'Formula Calculations (LOCKED)'!$O$2)*'Sheet 2. County Level Data'!$P$4</f>
        <v>#DIV/0!</v>
      </c>
      <c r="F223" s="29" t="e">
        <f>('Formula Calculations (LOCKED)'!D223/'Formula Calculations (LOCKED)'!$D$2)*'Sheet 2. County Level Data'!$P$4</f>
        <v>#DIV/0!</v>
      </c>
      <c r="G223" s="29"/>
      <c r="H223" s="29"/>
      <c r="I223" s="7"/>
      <c r="J223" s="29"/>
      <c r="K223" s="29"/>
      <c r="L223" s="29" t="e">
        <f>IF('Formula Calculations (LOCKED)'!$G223=1,('Sheet 2. County Level Data'!$P$12*('Formula Calculations (LOCKED)'!K223/'Formula Calculations (LOCKED)'!$K$2)),((10000000-'Sheet 2. County Level Data'!$P$12)*'Formula Calculations (LOCKED)'!J223/'Formula Calculations (LOCKED)'!$J$2))</f>
        <v>#DIV/0!</v>
      </c>
      <c r="M223" s="29" t="e">
        <f>IF('Formula Calculations (LOCKED)'!$G223=1,((0.5*'Sheet 2. County Level Data'!$P$12)*('Formula Calculations (LOCKED)'!K223/'Formula Calculations (LOCKED)'!$K$2))+((0.5*'Sheet 2. County Level Data'!$P$12)*('Formula Calculations (LOCKED)'!N223/'Formula Calculations (LOCKED)'!$N$2)),((0.5*(10000000-'Sheet 2. County Level Data'!$P$12))*('Formula Calculations (LOCKED)'!J223/'Formula Calculations (LOCKED)'!$J$2))+((0.5*(10000000-'Sheet 2. County Level Data'!$P$12))*('Formula Calculations (LOCKED)'!M223/'Formula Calculations (LOCKED)'!$M$2)))</f>
        <v>#DIV/0!</v>
      </c>
      <c r="N223" s="7"/>
    </row>
    <row r="224" spans="1:14" x14ac:dyDescent="0.2">
      <c r="A224" s="7"/>
      <c r="B224" s="29">
        <f>('Formula Calculations (LOCKED)'!C224*'Sheet 2. County Level Data'!$P$4)</f>
        <v>0</v>
      </c>
      <c r="C224" s="29" t="e">
        <f>'Formula Calculations (LOCKED)'!H224/'Formula Calculations (LOCKED)'!$H$2*'Sheet 2. County Level Data'!$P$4</f>
        <v>#DIV/0!</v>
      </c>
      <c r="D224" s="29" t="e">
        <f>('Formula Calculations (LOCKED)'!L224/'Formula Calculations (LOCKED)'!$L$2)*'Sheet 2. County Level Data'!$P$4</f>
        <v>#DIV/0!</v>
      </c>
      <c r="E224" s="29" t="e">
        <f>('Formula Calculations (LOCKED)'!O224/'Formula Calculations (LOCKED)'!$O$2)*'Sheet 2. County Level Data'!$P$4</f>
        <v>#DIV/0!</v>
      </c>
      <c r="F224" s="29" t="e">
        <f>('Formula Calculations (LOCKED)'!D224/'Formula Calculations (LOCKED)'!$D$2)*'Sheet 2. County Level Data'!$P$4</f>
        <v>#DIV/0!</v>
      </c>
      <c r="G224" s="29"/>
      <c r="H224" s="29"/>
      <c r="I224" s="7"/>
      <c r="J224" s="29"/>
      <c r="K224" s="29"/>
      <c r="L224" s="29" t="e">
        <f>IF('Formula Calculations (LOCKED)'!$G224=1,('Sheet 2. County Level Data'!$P$12*('Formula Calculations (LOCKED)'!K224/'Formula Calculations (LOCKED)'!$K$2)),((10000000-'Sheet 2. County Level Data'!$P$12)*'Formula Calculations (LOCKED)'!J224/'Formula Calculations (LOCKED)'!$J$2))</f>
        <v>#DIV/0!</v>
      </c>
      <c r="M224" s="29" t="e">
        <f>IF('Formula Calculations (LOCKED)'!$G224=1,((0.5*'Sheet 2. County Level Data'!$P$12)*('Formula Calculations (LOCKED)'!K224/'Formula Calculations (LOCKED)'!$K$2))+((0.5*'Sheet 2. County Level Data'!$P$12)*('Formula Calculations (LOCKED)'!N224/'Formula Calculations (LOCKED)'!$N$2)),((0.5*(10000000-'Sheet 2. County Level Data'!$P$12))*('Formula Calculations (LOCKED)'!J224/'Formula Calculations (LOCKED)'!$J$2))+((0.5*(10000000-'Sheet 2. County Level Data'!$P$12))*('Formula Calculations (LOCKED)'!M224/'Formula Calculations (LOCKED)'!$M$2)))</f>
        <v>#DIV/0!</v>
      </c>
      <c r="N224" s="7"/>
    </row>
    <row r="225" spans="1:14" x14ac:dyDescent="0.2">
      <c r="A225" s="7"/>
      <c r="B225" s="29">
        <f>('Formula Calculations (LOCKED)'!C225*'Sheet 2. County Level Data'!$P$4)</f>
        <v>0</v>
      </c>
      <c r="C225" s="29" t="e">
        <f>'Formula Calculations (LOCKED)'!H225/'Formula Calculations (LOCKED)'!$H$2*'Sheet 2. County Level Data'!$P$4</f>
        <v>#DIV/0!</v>
      </c>
      <c r="D225" s="29" t="e">
        <f>('Formula Calculations (LOCKED)'!L225/'Formula Calculations (LOCKED)'!$L$2)*'Sheet 2. County Level Data'!$P$4</f>
        <v>#DIV/0!</v>
      </c>
      <c r="E225" s="29" t="e">
        <f>('Formula Calculations (LOCKED)'!O225/'Formula Calculations (LOCKED)'!$O$2)*'Sheet 2. County Level Data'!$P$4</f>
        <v>#DIV/0!</v>
      </c>
      <c r="F225" s="29" t="e">
        <f>('Formula Calculations (LOCKED)'!D225/'Formula Calculations (LOCKED)'!$D$2)*'Sheet 2. County Level Data'!$P$4</f>
        <v>#DIV/0!</v>
      </c>
      <c r="G225" s="29"/>
      <c r="H225" s="29"/>
      <c r="I225" s="7"/>
      <c r="J225" s="29"/>
      <c r="K225" s="29"/>
      <c r="L225" s="29" t="e">
        <f>IF('Formula Calculations (LOCKED)'!$G225=1,('Sheet 2. County Level Data'!$P$12*('Formula Calculations (LOCKED)'!K225/'Formula Calculations (LOCKED)'!$K$2)),((10000000-'Sheet 2. County Level Data'!$P$12)*'Formula Calculations (LOCKED)'!J225/'Formula Calculations (LOCKED)'!$J$2))</f>
        <v>#DIV/0!</v>
      </c>
      <c r="M225" s="29" t="e">
        <f>IF('Formula Calculations (LOCKED)'!$G225=1,((0.5*'Sheet 2. County Level Data'!$P$12)*('Formula Calculations (LOCKED)'!K225/'Formula Calculations (LOCKED)'!$K$2))+((0.5*'Sheet 2. County Level Data'!$P$12)*('Formula Calculations (LOCKED)'!N225/'Formula Calculations (LOCKED)'!$N$2)),((0.5*(10000000-'Sheet 2. County Level Data'!$P$12))*('Formula Calculations (LOCKED)'!J225/'Formula Calculations (LOCKED)'!$J$2))+((0.5*(10000000-'Sheet 2. County Level Data'!$P$12))*('Formula Calculations (LOCKED)'!M225/'Formula Calculations (LOCKED)'!$M$2)))</f>
        <v>#DIV/0!</v>
      </c>
      <c r="N225" s="7"/>
    </row>
    <row r="226" spans="1:14" x14ac:dyDescent="0.2">
      <c r="A226" s="7"/>
      <c r="B226" s="29">
        <f>('Formula Calculations (LOCKED)'!C226*'Sheet 2. County Level Data'!$P$4)</f>
        <v>0</v>
      </c>
      <c r="C226" s="29" t="e">
        <f>'Formula Calculations (LOCKED)'!H226/'Formula Calculations (LOCKED)'!$H$2*'Sheet 2. County Level Data'!$P$4</f>
        <v>#DIV/0!</v>
      </c>
      <c r="D226" s="29" t="e">
        <f>('Formula Calculations (LOCKED)'!L226/'Formula Calculations (LOCKED)'!$L$2)*'Sheet 2. County Level Data'!$P$4</f>
        <v>#DIV/0!</v>
      </c>
      <c r="E226" s="29" t="e">
        <f>('Formula Calculations (LOCKED)'!O226/'Formula Calculations (LOCKED)'!$O$2)*'Sheet 2. County Level Data'!$P$4</f>
        <v>#DIV/0!</v>
      </c>
      <c r="F226" s="29" t="e">
        <f>('Formula Calculations (LOCKED)'!D226/'Formula Calculations (LOCKED)'!$D$2)*'Sheet 2. County Level Data'!$P$4</f>
        <v>#DIV/0!</v>
      </c>
      <c r="G226" s="29"/>
      <c r="H226" s="29"/>
      <c r="I226" s="7"/>
      <c r="J226" s="29"/>
      <c r="K226" s="29"/>
      <c r="L226" s="29" t="e">
        <f>IF('Formula Calculations (LOCKED)'!$G226=1,('Sheet 2. County Level Data'!$P$12*('Formula Calculations (LOCKED)'!K226/'Formula Calculations (LOCKED)'!$K$2)),((10000000-'Sheet 2. County Level Data'!$P$12)*'Formula Calculations (LOCKED)'!J226/'Formula Calculations (LOCKED)'!$J$2))</f>
        <v>#DIV/0!</v>
      </c>
      <c r="M226" s="29" t="e">
        <f>IF('Formula Calculations (LOCKED)'!$G226=1,((0.5*'Sheet 2. County Level Data'!$P$12)*('Formula Calculations (LOCKED)'!K226/'Formula Calculations (LOCKED)'!$K$2))+((0.5*'Sheet 2. County Level Data'!$P$12)*('Formula Calculations (LOCKED)'!N226/'Formula Calculations (LOCKED)'!$N$2)),((0.5*(10000000-'Sheet 2. County Level Data'!$P$12))*('Formula Calculations (LOCKED)'!J226/'Formula Calculations (LOCKED)'!$J$2))+((0.5*(10000000-'Sheet 2. County Level Data'!$P$12))*('Formula Calculations (LOCKED)'!M226/'Formula Calculations (LOCKED)'!$M$2)))</f>
        <v>#DIV/0!</v>
      </c>
      <c r="N226" s="7"/>
    </row>
    <row r="227" spans="1:14" x14ac:dyDescent="0.2">
      <c r="A227" s="7"/>
      <c r="B227" s="29">
        <f>('Formula Calculations (LOCKED)'!C227*'Sheet 2. County Level Data'!$P$4)</f>
        <v>0</v>
      </c>
      <c r="C227" s="29" t="e">
        <f>'Formula Calculations (LOCKED)'!H227/'Formula Calculations (LOCKED)'!$H$2*'Sheet 2. County Level Data'!$P$4</f>
        <v>#DIV/0!</v>
      </c>
      <c r="D227" s="29" t="e">
        <f>('Formula Calculations (LOCKED)'!L227/'Formula Calculations (LOCKED)'!$L$2)*'Sheet 2. County Level Data'!$P$4</f>
        <v>#DIV/0!</v>
      </c>
      <c r="E227" s="29" t="e">
        <f>('Formula Calculations (LOCKED)'!O227/'Formula Calculations (LOCKED)'!$O$2)*'Sheet 2. County Level Data'!$P$4</f>
        <v>#DIV/0!</v>
      </c>
      <c r="F227" s="29" t="e">
        <f>('Formula Calculations (LOCKED)'!D227/'Formula Calculations (LOCKED)'!$D$2)*'Sheet 2. County Level Data'!$P$4</f>
        <v>#DIV/0!</v>
      </c>
      <c r="G227" s="29"/>
      <c r="H227" s="29"/>
      <c r="I227" s="7"/>
      <c r="J227" s="29"/>
      <c r="K227" s="29"/>
      <c r="L227" s="29" t="e">
        <f>IF('Formula Calculations (LOCKED)'!$G227=1,('Sheet 2. County Level Data'!$P$12*('Formula Calculations (LOCKED)'!K227/'Formula Calculations (LOCKED)'!$K$2)),((10000000-'Sheet 2. County Level Data'!$P$12)*'Formula Calculations (LOCKED)'!J227/'Formula Calculations (LOCKED)'!$J$2))</f>
        <v>#DIV/0!</v>
      </c>
      <c r="M227" s="29" t="e">
        <f>IF('Formula Calculations (LOCKED)'!$G227=1,((0.5*'Sheet 2. County Level Data'!$P$12)*('Formula Calculations (LOCKED)'!K227/'Formula Calculations (LOCKED)'!$K$2))+((0.5*'Sheet 2. County Level Data'!$P$12)*('Formula Calculations (LOCKED)'!N227/'Formula Calculations (LOCKED)'!$N$2)),((0.5*(10000000-'Sheet 2. County Level Data'!$P$12))*('Formula Calculations (LOCKED)'!J227/'Formula Calculations (LOCKED)'!$J$2))+((0.5*(10000000-'Sheet 2. County Level Data'!$P$12))*('Formula Calculations (LOCKED)'!M227/'Formula Calculations (LOCKED)'!$M$2)))</f>
        <v>#DIV/0!</v>
      </c>
      <c r="N227" s="7"/>
    </row>
    <row r="228" spans="1:14" x14ac:dyDescent="0.2">
      <c r="A228" s="7"/>
      <c r="B228" s="29">
        <f>('Formula Calculations (LOCKED)'!C228*'Sheet 2. County Level Data'!$P$4)</f>
        <v>0</v>
      </c>
      <c r="C228" s="29" t="e">
        <f>'Formula Calculations (LOCKED)'!H228/'Formula Calculations (LOCKED)'!$H$2*'Sheet 2. County Level Data'!$P$4</f>
        <v>#DIV/0!</v>
      </c>
      <c r="D228" s="29" t="e">
        <f>('Formula Calculations (LOCKED)'!L228/'Formula Calculations (LOCKED)'!$L$2)*'Sheet 2. County Level Data'!$P$4</f>
        <v>#DIV/0!</v>
      </c>
      <c r="E228" s="29" t="e">
        <f>('Formula Calculations (LOCKED)'!O228/'Formula Calculations (LOCKED)'!$O$2)*'Sheet 2. County Level Data'!$P$4</f>
        <v>#DIV/0!</v>
      </c>
      <c r="F228" s="29" t="e">
        <f>('Formula Calculations (LOCKED)'!D228/'Formula Calculations (LOCKED)'!$D$2)*'Sheet 2. County Level Data'!$P$4</f>
        <v>#DIV/0!</v>
      </c>
      <c r="G228" s="29"/>
      <c r="H228" s="29"/>
      <c r="I228" s="7"/>
      <c r="J228" s="29"/>
      <c r="K228" s="29"/>
      <c r="L228" s="29" t="e">
        <f>IF('Formula Calculations (LOCKED)'!$G228=1,('Sheet 2. County Level Data'!$P$12*('Formula Calculations (LOCKED)'!K228/'Formula Calculations (LOCKED)'!$K$2)),((10000000-'Sheet 2. County Level Data'!$P$12)*'Formula Calculations (LOCKED)'!J228/'Formula Calculations (LOCKED)'!$J$2))</f>
        <v>#DIV/0!</v>
      </c>
      <c r="M228" s="29" t="e">
        <f>IF('Formula Calculations (LOCKED)'!$G228=1,((0.5*'Sheet 2. County Level Data'!$P$12)*('Formula Calculations (LOCKED)'!K228/'Formula Calculations (LOCKED)'!$K$2))+((0.5*'Sheet 2. County Level Data'!$P$12)*('Formula Calculations (LOCKED)'!N228/'Formula Calculations (LOCKED)'!$N$2)),((0.5*(10000000-'Sheet 2. County Level Data'!$P$12))*('Formula Calculations (LOCKED)'!J228/'Formula Calculations (LOCKED)'!$J$2))+((0.5*(10000000-'Sheet 2. County Level Data'!$P$12))*('Formula Calculations (LOCKED)'!M228/'Formula Calculations (LOCKED)'!$M$2)))</f>
        <v>#DIV/0!</v>
      </c>
      <c r="N228" s="7"/>
    </row>
    <row r="229" spans="1:14" x14ac:dyDescent="0.2">
      <c r="A229" s="7"/>
      <c r="B229" s="29">
        <f>('Formula Calculations (LOCKED)'!C229*'Sheet 2. County Level Data'!$P$4)</f>
        <v>0</v>
      </c>
      <c r="C229" s="29" t="e">
        <f>'Formula Calculations (LOCKED)'!H229/'Formula Calculations (LOCKED)'!$H$2*'Sheet 2. County Level Data'!$P$4</f>
        <v>#DIV/0!</v>
      </c>
      <c r="D229" s="29" t="e">
        <f>('Formula Calculations (LOCKED)'!L229/'Formula Calculations (LOCKED)'!$L$2)*'Sheet 2. County Level Data'!$P$4</f>
        <v>#DIV/0!</v>
      </c>
      <c r="E229" s="29" t="e">
        <f>('Formula Calculations (LOCKED)'!O229/'Formula Calculations (LOCKED)'!$O$2)*'Sheet 2. County Level Data'!$P$4</f>
        <v>#DIV/0!</v>
      </c>
      <c r="F229" s="29" t="e">
        <f>('Formula Calculations (LOCKED)'!D229/'Formula Calculations (LOCKED)'!$D$2)*'Sheet 2. County Level Data'!$P$4</f>
        <v>#DIV/0!</v>
      </c>
      <c r="G229" s="29"/>
      <c r="H229" s="29"/>
      <c r="I229" s="7"/>
      <c r="J229" s="29"/>
      <c r="K229" s="29"/>
      <c r="L229" s="29" t="e">
        <f>IF('Formula Calculations (LOCKED)'!$G229=1,('Sheet 2. County Level Data'!$P$12*('Formula Calculations (LOCKED)'!K229/'Formula Calculations (LOCKED)'!$K$2)),((10000000-'Sheet 2. County Level Data'!$P$12)*'Formula Calculations (LOCKED)'!J229/'Formula Calculations (LOCKED)'!$J$2))</f>
        <v>#DIV/0!</v>
      </c>
      <c r="M229" s="29" t="e">
        <f>IF('Formula Calculations (LOCKED)'!$G229=1,((0.5*'Sheet 2. County Level Data'!$P$12)*('Formula Calculations (LOCKED)'!K229/'Formula Calculations (LOCKED)'!$K$2))+((0.5*'Sheet 2. County Level Data'!$P$12)*('Formula Calculations (LOCKED)'!N229/'Formula Calculations (LOCKED)'!$N$2)),((0.5*(10000000-'Sheet 2. County Level Data'!$P$12))*('Formula Calculations (LOCKED)'!J229/'Formula Calculations (LOCKED)'!$J$2))+((0.5*(10000000-'Sheet 2. County Level Data'!$P$12))*('Formula Calculations (LOCKED)'!M229/'Formula Calculations (LOCKED)'!$M$2)))</f>
        <v>#DIV/0!</v>
      </c>
      <c r="N229" s="7"/>
    </row>
    <row r="230" spans="1:14" x14ac:dyDescent="0.2">
      <c r="A230" s="7"/>
      <c r="B230" s="29">
        <f>('Formula Calculations (LOCKED)'!C230*'Sheet 2. County Level Data'!$P$4)</f>
        <v>0</v>
      </c>
      <c r="C230" s="29" t="e">
        <f>'Formula Calculations (LOCKED)'!H230/'Formula Calculations (LOCKED)'!$H$2*'Sheet 2. County Level Data'!$P$4</f>
        <v>#DIV/0!</v>
      </c>
      <c r="D230" s="29" t="e">
        <f>('Formula Calculations (LOCKED)'!L230/'Formula Calculations (LOCKED)'!$L$2)*'Sheet 2. County Level Data'!$P$4</f>
        <v>#DIV/0!</v>
      </c>
      <c r="E230" s="29" t="e">
        <f>('Formula Calculations (LOCKED)'!O230/'Formula Calculations (LOCKED)'!$O$2)*'Sheet 2. County Level Data'!$P$4</f>
        <v>#DIV/0!</v>
      </c>
      <c r="F230" s="29" t="e">
        <f>('Formula Calculations (LOCKED)'!D230/'Formula Calculations (LOCKED)'!$D$2)*'Sheet 2. County Level Data'!$P$4</f>
        <v>#DIV/0!</v>
      </c>
      <c r="G230" s="29"/>
      <c r="H230" s="29"/>
      <c r="I230" s="7"/>
      <c r="J230" s="29"/>
      <c r="K230" s="29"/>
      <c r="L230" s="29" t="e">
        <f>IF('Formula Calculations (LOCKED)'!$G230=1,('Sheet 2. County Level Data'!$P$12*('Formula Calculations (LOCKED)'!K230/'Formula Calculations (LOCKED)'!$K$2)),((10000000-'Sheet 2. County Level Data'!$P$12)*'Formula Calculations (LOCKED)'!J230/'Formula Calculations (LOCKED)'!$J$2))</f>
        <v>#DIV/0!</v>
      </c>
      <c r="M230" s="29" t="e">
        <f>IF('Formula Calculations (LOCKED)'!$G230=1,((0.5*'Sheet 2. County Level Data'!$P$12)*('Formula Calculations (LOCKED)'!K230/'Formula Calculations (LOCKED)'!$K$2))+((0.5*'Sheet 2. County Level Data'!$P$12)*('Formula Calculations (LOCKED)'!N230/'Formula Calculations (LOCKED)'!$N$2)),((0.5*(10000000-'Sheet 2. County Level Data'!$P$12))*('Formula Calculations (LOCKED)'!J230/'Formula Calculations (LOCKED)'!$J$2))+((0.5*(10000000-'Sheet 2. County Level Data'!$P$12))*('Formula Calculations (LOCKED)'!M230/'Formula Calculations (LOCKED)'!$M$2)))</f>
        <v>#DIV/0!</v>
      </c>
      <c r="N230" s="7"/>
    </row>
    <row r="231" spans="1:14" x14ac:dyDescent="0.2">
      <c r="A231" s="20"/>
    </row>
    <row r="232" spans="1:14" x14ac:dyDescent="0.2">
      <c r="A232" s="20"/>
    </row>
    <row r="233" spans="1:14" x14ac:dyDescent="0.2">
      <c r="A233" s="20"/>
    </row>
    <row r="234" spans="1:14" x14ac:dyDescent="0.2">
      <c r="A234" s="20"/>
    </row>
    <row r="235" spans="1:14" x14ac:dyDescent="0.2">
      <c r="A235" s="20"/>
    </row>
    <row r="236" spans="1:14" x14ac:dyDescent="0.2">
      <c r="A236" s="20"/>
    </row>
    <row r="237" spans="1:14" x14ac:dyDescent="0.2">
      <c r="A237" s="20"/>
    </row>
    <row r="238" spans="1:14" x14ac:dyDescent="0.2">
      <c r="A238" s="20"/>
    </row>
    <row r="239" spans="1:14" x14ac:dyDescent="0.2">
      <c r="A239" s="20"/>
    </row>
    <row r="240" spans="1:14" x14ac:dyDescent="0.2">
      <c r="A240" s="20"/>
    </row>
    <row r="241" spans="1:1" x14ac:dyDescent="0.2">
      <c r="A241" s="20"/>
    </row>
    <row r="242" spans="1:1" x14ac:dyDescent="0.2">
      <c r="A242" s="20"/>
    </row>
    <row r="243" spans="1:1" x14ac:dyDescent="0.2">
      <c r="A243" s="20"/>
    </row>
    <row r="244" spans="1:1" x14ac:dyDescent="0.2">
      <c r="A244" s="20"/>
    </row>
    <row r="245" spans="1:1" x14ac:dyDescent="0.2">
      <c r="A245" s="20"/>
    </row>
  </sheetData>
  <mergeCells count="3">
    <mergeCell ref="B1:F1"/>
    <mergeCell ref="G1:K1"/>
    <mergeCell ref="L1:N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09DAF-F09C-4B76-ABD4-1EA85A753EE9}">
  <dimension ref="A1:N245"/>
  <sheetViews>
    <sheetView workbookViewId="0">
      <selection activeCell="F32" sqref="F32"/>
    </sheetView>
  </sheetViews>
  <sheetFormatPr baseColWidth="10" defaultColWidth="9.1640625" defaultRowHeight="15" x14ac:dyDescent="0.2"/>
  <cols>
    <col min="1" max="1" width="16.5" style="6" customWidth="1"/>
    <col min="2" max="2" width="13.5" style="6" customWidth="1"/>
    <col min="3" max="3" width="15.5" style="6" customWidth="1"/>
    <col min="4" max="4" width="16.1640625" style="6" customWidth="1"/>
    <col min="5" max="6" width="16.5" style="6" customWidth="1"/>
    <col min="7" max="7" width="14.5" style="6" customWidth="1"/>
    <col min="8" max="8" width="16.6640625" style="6" customWidth="1"/>
    <col min="9" max="9" width="14" style="6" customWidth="1"/>
    <col min="10" max="10" width="14.83203125" style="6" customWidth="1"/>
    <col min="11" max="11" width="14.5" style="6" customWidth="1"/>
    <col min="12" max="12" width="24.1640625" style="6" customWidth="1"/>
    <col min="13" max="13" width="15.1640625" style="6" customWidth="1"/>
    <col min="14" max="14" width="23.83203125" style="6" customWidth="1"/>
    <col min="15" max="16384" width="9.1640625" style="6"/>
  </cols>
  <sheetData>
    <row r="1" spans="1:14" ht="17" thickBot="1" x14ac:dyDescent="0.25">
      <c r="A1" s="35" t="s">
        <v>4</v>
      </c>
      <c r="B1" s="53" t="s">
        <v>5</v>
      </c>
      <c r="C1" s="54"/>
      <c r="D1" s="54"/>
      <c r="E1" s="54"/>
      <c r="F1" s="55"/>
      <c r="G1" s="56" t="s">
        <v>6</v>
      </c>
      <c r="H1" s="54"/>
      <c r="I1" s="54"/>
      <c r="J1" s="54"/>
      <c r="K1" s="55"/>
      <c r="L1" s="56" t="s">
        <v>7</v>
      </c>
      <c r="M1" s="54"/>
      <c r="N1" s="57"/>
    </row>
    <row r="2" spans="1:14" ht="13.5" customHeight="1" thickBot="1" x14ac:dyDescent="0.25">
      <c r="A2" s="34" t="s">
        <v>46</v>
      </c>
      <c r="B2" s="26">
        <v>0.1</v>
      </c>
      <c r="C2" s="27">
        <v>0.2</v>
      </c>
      <c r="D2" s="27">
        <v>0.3</v>
      </c>
      <c r="E2" s="27">
        <v>0.4</v>
      </c>
      <c r="F2" s="27">
        <v>0.5</v>
      </c>
      <c r="G2" s="27">
        <v>1.1000000000000001</v>
      </c>
      <c r="H2" s="27">
        <v>1.2</v>
      </c>
      <c r="I2" s="27">
        <v>1.3</v>
      </c>
      <c r="J2" s="27">
        <v>1.4</v>
      </c>
      <c r="K2" s="27"/>
      <c r="L2" s="33">
        <v>2.1</v>
      </c>
      <c r="M2" s="27">
        <v>2.2000000000000002</v>
      </c>
      <c r="N2" s="28">
        <v>2.2999999999999998</v>
      </c>
    </row>
    <row r="3" spans="1:14" ht="46" customHeight="1" x14ac:dyDescent="0.2">
      <c r="A3" s="22" t="s">
        <v>8</v>
      </c>
      <c r="B3" s="23" t="s">
        <v>9</v>
      </c>
      <c r="C3" s="24" t="s">
        <v>10</v>
      </c>
      <c r="D3" s="25" t="s">
        <v>11</v>
      </c>
      <c r="E3" s="24" t="s">
        <v>12</v>
      </c>
      <c r="F3" s="24" t="s">
        <v>13</v>
      </c>
      <c r="G3" s="24" t="s">
        <v>14</v>
      </c>
      <c r="H3" s="24" t="s">
        <v>15</v>
      </c>
      <c r="I3" s="24" t="s">
        <v>16</v>
      </c>
      <c r="J3" s="24" t="s">
        <v>17</v>
      </c>
      <c r="K3" s="24" t="s">
        <v>18</v>
      </c>
      <c r="L3" s="24" t="s">
        <v>19</v>
      </c>
      <c r="M3" s="24" t="s">
        <v>47</v>
      </c>
      <c r="N3" s="24" t="s">
        <v>48</v>
      </c>
    </row>
    <row r="4" spans="1:14" x14ac:dyDescent="0.2">
      <c r="A4" s="7">
        <f>'Sheet 2. County Level Data'!A2</f>
        <v>0</v>
      </c>
      <c r="B4" s="29" t="e">
        <f>'Sheet 3. Total Amounts '!B4/'Formula Calculations (LOCKED)'!B4</f>
        <v>#DIV/0!</v>
      </c>
      <c r="C4" s="52" t="e">
        <f>'Sheet 3. Total Amounts '!C4/'Formula Calculations (LOCKED)'!$B4</f>
        <v>#DIV/0!</v>
      </c>
      <c r="D4" s="52" t="e">
        <f>'Sheet 3. Total Amounts '!D4/'Formula Calculations (LOCKED)'!$B4</f>
        <v>#DIV/0!</v>
      </c>
      <c r="E4" s="52" t="e">
        <f>'Sheet 3. Total Amounts '!E4/'Formula Calculations (LOCKED)'!$B4</f>
        <v>#DIV/0!</v>
      </c>
      <c r="F4" s="52" t="e">
        <f>'Sheet 3. Total Amounts '!F4/'Formula Calculations (LOCKED)'!$B4</f>
        <v>#DIV/0!</v>
      </c>
      <c r="G4" s="52" t="e">
        <f>'Sheet 3. Total Amounts '!G4/'Formula Calculations (LOCKED)'!$B4</f>
        <v>#DIV/0!</v>
      </c>
      <c r="H4" s="52" t="e">
        <f>'Sheet 3. Total Amounts '!H4/'Formula Calculations (LOCKED)'!$B4</f>
        <v>#DIV/0!</v>
      </c>
      <c r="I4" s="52" t="e">
        <f>'Sheet 3. Total Amounts '!I4/'Formula Calculations (LOCKED)'!$B4</f>
        <v>#DIV/0!</v>
      </c>
      <c r="J4" s="52" t="e">
        <f>'Sheet 3. Total Amounts '!J4/'Formula Calculations (LOCKED)'!$B4</f>
        <v>#DIV/0!</v>
      </c>
      <c r="K4" s="52" t="e">
        <f>'Sheet 3. Total Amounts '!K4/'Formula Calculations (LOCKED)'!$B4</f>
        <v>#DIV/0!</v>
      </c>
      <c r="L4" s="29" t="e">
        <f>'Sheet 3. Total Amounts '!L4/'Formula Calculations (LOCKED)'!B4</f>
        <v>#DIV/0!</v>
      </c>
      <c r="M4" s="29" t="e">
        <f>'Sheet 3. Total Amounts '!M4/'Formula Calculations (LOCKED)'!B4</f>
        <v>#DIV/0!</v>
      </c>
      <c r="N4" s="51" t="e">
        <f>'Sheet 3. Total Amounts '!N4/'Formula Calculations (LOCKED)'!B4</f>
        <v>#DIV/0!</v>
      </c>
    </row>
    <row r="5" spans="1:14" x14ac:dyDescent="0.2">
      <c r="A5" s="7">
        <f>'Sheet 2. County Level Data'!A3</f>
        <v>0</v>
      </c>
      <c r="B5" s="29" t="e">
        <f>'Sheet 3. Total Amounts '!B5/'Formula Calculations (LOCKED)'!B5</f>
        <v>#DIV/0!</v>
      </c>
      <c r="C5" s="52" t="e">
        <f>'Sheet 3. Total Amounts '!C5/'Formula Calculations (LOCKED)'!$B5</f>
        <v>#DIV/0!</v>
      </c>
      <c r="D5" s="52" t="e">
        <f>'Sheet 3. Total Amounts '!D5/'Formula Calculations (LOCKED)'!$B5</f>
        <v>#DIV/0!</v>
      </c>
      <c r="E5" s="52" t="e">
        <f>'Sheet 3. Total Amounts '!E5/'Formula Calculations (LOCKED)'!$B5</f>
        <v>#DIV/0!</v>
      </c>
      <c r="F5" s="52" t="e">
        <f>'Sheet 3. Total Amounts '!F5/'Formula Calculations (LOCKED)'!$B5</f>
        <v>#DIV/0!</v>
      </c>
      <c r="G5" s="52" t="e">
        <f>'Sheet 3. Total Amounts '!G5/'Formula Calculations (LOCKED)'!$B5</f>
        <v>#DIV/0!</v>
      </c>
      <c r="H5" s="52" t="e">
        <f>'Sheet 3. Total Amounts '!H5/'Formula Calculations (LOCKED)'!$B5</f>
        <v>#DIV/0!</v>
      </c>
      <c r="I5" s="52" t="e">
        <f>'Sheet 3. Total Amounts '!I5/'Formula Calculations (LOCKED)'!$B5</f>
        <v>#DIV/0!</v>
      </c>
      <c r="J5" s="52" t="e">
        <f>'Sheet 3. Total Amounts '!J5/'Formula Calculations (LOCKED)'!$B5</f>
        <v>#DIV/0!</v>
      </c>
      <c r="K5" s="52" t="e">
        <f>'Sheet 3. Total Amounts '!K5/'Formula Calculations (LOCKED)'!$B5</f>
        <v>#DIV/0!</v>
      </c>
      <c r="L5" s="29" t="e">
        <f>'Sheet 3. Total Amounts '!L5/'Formula Calculations (LOCKED)'!B5</f>
        <v>#DIV/0!</v>
      </c>
      <c r="M5" s="29" t="e">
        <f>'Sheet 3. Total Amounts '!M5/'Formula Calculations (LOCKED)'!B5</f>
        <v>#DIV/0!</v>
      </c>
      <c r="N5" s="51" t="e">
        <f>'Sheet 3. Total Amounts '!N5/'Formula Calculations (LOCKED)'!B5</f>
        <v>#DIV/0!</v>
      </c>
    </row>
    <row r="6" spans="1:14" x14ac:dyDescent="0.2">
      <c r="A6" s="7">
        <f>'Sheet 2. County Level Data'!A4</f>
        <v>0</v>
      </c>
      <c r="B6" s="29" t="e">
        <f>'Sheet 3. Total Amounts '!B6/'Formula Calculations (LOCKED)'!B6</f>
        <v>#DIV/0!</v>
      </c>
      <c r="C6" s="52" t="e">
        <f>'Sheet 3. Total Amounts '!C6/'Formula Calculations (LOCKED)'!$B6</f>
        <v>#DIV/0!</v>
      </c>
      <c r="D6" s="52" t="e">
        <f>'Sheet 3. Total Amounts '!D6/'Formula Calculations (LOCKED)'!$B6</f>
        <v>#DIV/0!</v>
      </c>
      <c r="E6" s="52" t="e">
        <f>'Sheet 3. Total Amounts '!E6/'Formula Calculations (LOCKED)'!$B6</f>
        <v>#DIV/0!</v>
      </c>
      <c r="F6" s="52" t="e">
        <f>'Sheet 3. Total Amounts '!F6/'Formula Calculations (LOCKED)'!$B6</f>
        <v>#DIV/0!</v>
      </c>
      <c r="G6" s="52" t="e">
        <f>'Sheet 3. Total Amounts '!G6/'Formula Calculations (LOCKED)'!$B6</f>
        <v>#DIV/0!</v>
      </c>
      <c r="H6" s="52" t="e">
        <f>'Sheet 3. Total Amounts '!H6/'Formula Calculations (LOCKED)'!$B6</f>
        <v>#DIV/0!</v>
      </c>
      <c r="I6" s="52" t="e">
        <f>'Sheet 3. Total Amounts '!I6/'Formula Calculations (LOCKED)'!$B6</f>
        <v>#DIV/0!</v>
      </c>
      <c r="J6" s="52" t="e">
        <f>'Sheet 3. Total Amounts '!J6/'Formula Calculations (LOCKED)'!$B6</f>
        <v>#DIV/0!</v>
      </c>
      <c r="K6" s="52" t="e">
        <f>'Sheet 3. Total Amounts '!K6/'Formula Calculations (LOCKED)'!$B6</f>
        <v>#DIV/0!</v>
      </c>
      <c r="L6" s="29" t="e">
        <f>'Sheet 3. Total Amounts '!L6/'Formula Calculations (LOCKED)'!B6</f>
        <v>#DIV/0!</v>
      </c>
      <c r="M6" s="29" t="e">
        <f>'Sheet 3. Total Amounts '!M6/'Formula Calculations (LOCKED)'!B6</f>
        <v>#DIV/0!</v>
      </c>
      <c r="N6" s="51" t="e">
        <f>'Sheet 3. Total Amounts '!N6/'Formula Calculations (LOCKED)'!B6</f>
        <v>#DIV/0!</v>
      </c>
    </row>
    <row r="7" spans="1:14" x14ac:dyDescent="0.2">
      <c r="A7" s="7">
        <f>'Sheet 2. County Level Data'!A5</f>
        <v>0</v>
      </c>
      <c r="B7" s="29" t="e">
        <f>'Sheet 3. Total Amounts '!B7/'Formula Calculations (LOCKED)'!B7</f>
        <v>#DIV/0!</v>
      </c>
      <c r="C7" s="52" t="e">
        <f>'Sheet 3. Total Amounts '!C7/'Formula Calculations (LOCKED)'!$B7</f>
        <v>#DIV/0!</v>
      </c>
      <c r="D7" s="52" t="e">
        <f>'Sheet 3. Total Amounts '!D7/'Formula Calculations (LOCKED)'!$B7</f>
        <v>#DIV/0!</v>
      </c>
      <c r="E7" s="52" t="e">
        <f>'Sheet 3. Total Amounts '!E7/'Formula Calculations (LOCKED)'!$B7</f>
        <v>#DIV/0!</v>
      </c>
      <c r="F7" s="52" t="e">
        <f>'Sheet 3. Total Amounts '!F7/'Formula Calculations (LOCKED)'!$B7</f>
        <v>#DIV/0!</v>
      </c>
      <c r="G7" s="52" t="e">
        <f>'Sheet 3. Total Amounts '!G7/'Formula Calculations (LOCKED)'!$B7</f>
        <v>#DIV/0!</v>
      </c>
      <c r="H7" s="52" t="e">
        <f>'Sheet 3. Total Amounts '!H7/'Formula Calculations (LOCKED)'!$B7</f>
        <v>#DIV/0!</v>
      </c>
      <c r="I7" s="52" t="e">
        <f>'Sheet 3. Total Amounts '!I7/'Formula Calculations (LOCKED)'!$B7</f>
        <v>#DIV/0!</v>
      </c>
      <c r="J7" s="52" t="e">
        <f>'Sheet 3. Total Amounts '!J7/'Formula Calculations (LOCKED)'!$B7</f>
        <v>#DIV/0!</v>
      </c>
      <c r="K7" s="52" t="e">
        <f>'Sheet 3. Total Amounts '!K7/'Formula Calculations (LOCKED)'!$B7</f>
        <v>#DIV/0!</v>
      </c>
      <c r="L7" s="29" t="e">
        <f>'Sheet 3. Total Amounts '!L7/'Formula Calculations (LOCKED)'!B7</f>
        <v>#DIV/0!</v>
      </c>
      <c r="M7" s="29" t="e">
        <f>'Sheet 3. Total Amounts '!M7/'Formula Calculations (LOCKED)'!B7</f>
        <v>#DIV/0!</v>
      </c>
      <c r="N7" s="51" t="e">
        <f>'Sheet 3. Total Amounts '!N7/'Formula Calculations (LOCKED)'!B7</f>
        <v>#DIV/0!</v>
      </c>
    </row>
    <row r="8" spans="1:14" x14ac:dyDescent="0.2">
      <c r="A8" s="7">
        <f>'Sheet 2. County Level Data'!A6</f>
        <v>0</v>
      </c>
      <c r="B8" s="29" t="e">
        <f>'Sheet 3. Total Amounts '!B8/'Formula Calculations (LOCKED)'!B8</f>
        <v>#DIV/0!</v>
      </c>
      <c r="C8" s="52" t="e">
        <f>'Sheet 3. Total Amounts '!C8/'Formula Calculations (LOCKED)'!$B8</f>
        <v>#DIV/0!</v>
      </c>
      <c r="D8" s="52" t="e">
        <f>'Sheet 3. Total Amounts '!D8/'Formula Calculations (LOCKED)'!$B8</f>
        <v>#DIV/0!</v>
      </c>
      <c r="E8" s="52" t="e">
        <f>'Sheet 3. Total Amounts '!E8/'Formula Calculations (LOCKED)'!$B8</f>
        <v>#DIV/0!</v>
      </c>
      <c r="F8" s="52" t="e">
        <f>'Sheet 3. Total Amounts '!F8/'Formula Calculations (LOCKED)'!$B8</f>
        <v>#DIV/0!</v>
      </c>
      <c r="G8" s="52" t="e">
        <f>'Sheet 3. Total Amounts '!G8/'Formula Calculations (LOCKED)'!$B8</f>
        <v>#DIV/0!</v>
      </c>
      <c r="H8" s="52" t="e">
        <f>'Sheet 3. Total Amounts '!H8/'Formula Calculations (LOCKED)'!$B8</f>
        <v>#DIV/0!</v>
      </c>
      <c r="I8" s="52" t="e">
        <f>'Sheet 3. Total Amounts '!I8/'Formula Calculations (LOCKED)'!$B8</f>
        <v>#DIV/0!</v>
      </c>
      <c r="J8" s="52" t="e">
        <f>'Sheet 3. Total Amounts '!J8/'Formula Calculations (LOCKED)'!$B8</f>
        <v>#DIV/0!</v>
      </c>
      <c r="K8" s="52" t="e">
        <f>'Sheet 3. Total Amounts '!K8/'Formula Calculations (LOCKED)'!$B8</f>
        <v>#DIV/0!</v>
      </c>
      <c r="L8" s="29" t="e">
        <f>'Sheet 3. Total Amounts '!L8/'Formula Calculations (LOCKED)'!B8</f>
        <v>#DIV/0!</v>
      </c>
      <c r="M8" s="29" t="e">
        <f>'Sheet 3. Total Amounts '!M8/'Formula Calculations (LOCKED)'!B8</f>
        <v>#DIV/0!</v>
      </c>
      <c r="N8" s="51" t="e">
        <f>'Sheet 3. Total Amounts '!N8/'Formula Calculations (LOCKED)'!B8</f>
        <v>#DIV/0!</v>
      </c>
    </row>
    <row r="9" spans="1:14" x14ac:dyDescent="0.2">
      <c r="A9" s="7">
        <f>'Sheet 2. County Level Data'!A7</f>
        <v>0</v>
      </c>
      <c r="B9" s="29" t="e">
        <f>'Sheet 3. Total Amounts '!B9/'Formula Calculations (LOCKED)'!B9</f>
        <v>#DIV/0!</v>
      </c>
      <c r="C9" s="52" t="e">
        <f>'Sheet 3. Total Amounts '!C9/'Formula Calculations (LOCKED)'!$B9</f>
        <v>#DIV/0!</v>
      </c>
      <c r="D9" s="52" t="e">
        <f>'Sheet 3. Total Amounts '!D9/'Formula Calculations (LOCKED)'!$B9</f>
        <v>#DIV/0!</v>
      </c>
      <c r="E9" s="52" t="e">
        <f>'Sheet 3. Total Amounts '!E9/'Formula Calculations (LOCKED)'!$B9</f>
        <v>#DIV/0!</v>
      </c>
      <c r="F9" s="52" t="e">
        <f>'Sheet 3. Total Amounts '!F9/'Formula Calculations (LOCKED)'!$B9</f>
        <v>#DIV/0!</v>
      </c>
      <c r="G9" s="52" t="e">
        <f>'Sheet 3. Total Amounts '!G9/'Formula Calculations (LOCKED)'!$B9</f>
        <v>#DIV/0!</v>
      </c>
      <c r="H9" s="52" t="e">
        <f>'Sheet 3. Total Amounts '!H9/'Formula Calculations (LOCKED)'!$B9</f>
        <v>#DIV/0!</v>
      </c>
      <c r="I9" s="52" t="e">
        <f>'Sheet 3. Total Amounts '!I9/'Formula Calculations (LOCKED)'!$B9</f>
        <v>#DIV/0!</v>
      </c>
      <c r="J9" s="52" t="e">
        <f>'Sheet 3. Total Amounts '!J9/'Formula Calculations (LOCKED)'!$B9</f>
        <v>#DIV/0!</v>
      </c>
      <c r="K9" s="52" t="e">
        <f>'Sheet 3. Total Amounts '!K9/'Formula Calculations (LOCKED)'!$B9</f>
        <v>#DIV/0!</v>
      </c>
      <c r="L9" s="29" t="e">
        <f>'Sheet 3. Total Amounts '!L9/'Formula Calculations (LOCKED)'!B9</f>
        <v>#DIV/0!</v>
      </c>
      <c r="M9" s="29" t="e">
        <f>'Sheet 3. Total Amounts '!M9/'Formula Calculations (LOCKED)'!B9</f>
        <v>#DIV/0!</v>
      </c>
      <c r="N9" s="51" t="e">
        <f>'Sheet 3. Total Amounts '!N9/'Formula Calculations (LOCKED)'!B9</f>
        <v>#DIV/0!</v>
      </c>
    </row>
    <row r="10" spans="1:14" x14ac:dyDescent="0.2">
      <c r="A10" s="7">
        <f>'Sheet 2. County Level Data'!A8</f>
        <v>0</v>
      </c>
      <c r="B10" s="29" t="e">
        <f>'Sheet 3. Total Amounts '!B10/'Formula Calculations (LOCKED)'!B10</f>
        <v>#DIV/0!</v>
      </c>
      <c r="C10" s="52" t="e">
        <f>'Sheet 3. Total Amounts '!C10/'Formula Calculations (LOCKED)'!$B10</f>
        <v>#DIV/0!</v>
      </c>
      <c r="D10" s="52" t="e">
        <f>'Sheet 3. Total Amounts '!D10/'Formula Calculations (LOCKED)'!$B10</f>
        <v>#DIV/0!</v>
      </c>
      <c r="E10" s="52" t="e">
        <f>'Sheet 3. Total Amounts '!E10/'Formula Calculations (LOCKED)'!$B10</f>
        <v>#DIV/0!</v>
      </c>
      <c r="F10" s="52" t="e">
        <f>'Sheet 3. Total Amounts '!F10/'Formula Calculations (LOCKED)'!$B10</f>
        <v>#DIV/0!</v>
      </c>
      <c r="G10" s="52" t="e">
        <f>'Sheet 3. Total Amounts '!G10/'Formula Calculations (LOCKED)'!$B10</f>
        <v>#DIV/0!</v>
      </c>
      <c r="H10" s="52" t="e">
        <f>'Sheet 3. Total Amounts '!H10/'Formula Calculations (LOCKED)'!$B10</f>
        <v>#DIV/0!</v>
      </c>
      <c r="I10" s="52" t="e">
        <f>'Sheet 3. Total Amounts '!I10/'Formula Calculations (LOCKED)'!$B10</f>
        <v>#DIV/0!</v>
      </c>
      <c r="J10" s="52" t="e">
        <f>'Sheet 3. Total Amounts '!J10/'Formula Calculations (LOCKED)'!$B10</f>
        <v>#DIV/0!</v>
      </c>
      <c r="K10" s="52" t="e">
        <f>'Sheet 3. Total Amounts '!K10/'Formula Calculations (LOCKED)'!$B10</f>
        <v>#DIV/0!</v>
      </c>
      <c r="L10" s="29" t="e">
        <f>'Sheet 3. Total Amounts '!L10/'Formula Calculations (LOCKED)'!B10</f>
        <v>#DIV/0!</v>
      </c>
      <c r="M10" s="29" t="e">
        <f>'Sheet 3. Total Amounts '!M10/'Formula Calculations (LOCKED)'!B10</f>
        <v>#DIV/0!</v>
      </c>
      <c r="N10" s="51" t="e">
        <f>'Sheet 3. Total Amounts '!N10/'Formula Calculations (LOCKED)'!B10</f>
        <v>#DIV/0!</v>
      </c>
    </row>
    <row r="11" spans="1:14" x14ac:dyDescent="0.2">
      <c r="A11" s="7">
        <f>'Sheet 2. County Level Data'!A9</f>
        <v>0</v>
      </c>
      <c r="B11" s="29" t="e">
        <f>'Sheet 3. Total Amounts '!B11/'Formula Calculations (LOCKED)'!B11</f>
        <v>#DIV/0!</v>
      </c>
      <c r="C11" s="52" t="e">
        <f>'Sheet 3. Total Amounts '!C11/'Formula Calculations (LOCKED)'!$B11</f>
        <v>#DIV/0!</v>
      </c>
      <c r="D11" s="52" t="e">
        <f>'Sheet 3. Total Amounts '!D11/'Formula Calculations (LOCKED)'!$B11</f>
        <v>#DIV/0!</v>
      </c>
      <c r="E11" s="52" t="e">
        <f>'Sheet 3. Total Amounts '!E11/'Formula Calculations (LOCKED)'!$B11</f>
        <v>#DIV/0!</v>
      </c>
      <c r="F11" s="52" t="e">
        <f>'Sheet 3. Total Amounts '!F11/'Formula Calculations (LOCKED)'!$B11</f>
        <v>#DIV/0!</v>
      </c>
      <c r="G11" s="52" t="e">
        <f>'Sheet 3. Total Amounts '!G11/'Formula Calculations (LOCKED)'!$B11</f>
        <v>#DIV/0!</v>
      </c>
      <c r="H11" s="52" t="e">
        <f>'Sheet 3. Total Amounts '!H11/'Formula Calculations (LOCKED)'!$B11</f>
        <v>#DIV/0!</v>
      </c>
      <c r="I11" s="52" t="e">
        <f>'Sheet 3. Total Amounts '!I11/'Formula Calculations (LOCKED)'!$B11</f>
        <v>#DIV/0!</v>
      </c>
      <c r="J11" s="52" t="e">
        <f>'Sheet 3. Total Amounts '!J11/'Formula Calculations (LOCKED)'!$B11</f>
        <v>#DIV/0!</v>
      </c>
      <c r="K11" s="52" t="e">
        <f>'Sheet 3. Total Amounts '!K11/'Formula Calculations (LOCKED)'!$B11</f>
        <v>#DIV/0!</v>
      </c>
      <c r="L11" s="29" t="e">
        <f>'Sheet 3. Total Amounts '!L11/'Formula Calculations (LOCKED)'!B11</f>
        <v>#DIV/0!</v>
      </c>
      <c r="M11" s="29" t="e">
        <f>'Sheet 3. Total Amounts '!M11/'Formula Calculations (LOCKED)'!B11</f>
        <v>#DIV/0!</v>
      </c>
      <c r="N11" s="51" t="e">
        <f>'Sheet 3. Total Amounts '!N11/'Formula Calculations (LOCKED)'!B11</f>
        <v>#DIV/0!</v>
      </c>
    </row>
    <row r="12" spans="1:14" x14ac:dyDescent="0.2">
      <c r="A12" s="7">
        <f>'Sheet 2. County Level Data'!A10</f>
        <v>0</v>
      </c>
      <c r="B12" s="29" t="e">
        <f>'Sheet 3. Total Amounts '!B12/'Formula Calculations (LOCKED)'!B12</f>
        <v>#DIV/0!</v>
      </c>
      <c r="C12" s="52" t="e">
        <f>'Sheet 3. Total Amounts '!C12/'Formula Calculations (LOCKED)'!$B12</f>
        <v>#DIV/0!</v>
      </c>
      <c r="D12" s="52" t="e">
        <f>'Sheet 3. Total Amounts '!D12/'Formula Calculations (LOCKED)'!$B12</f>
        <v>#DIV/0!</v>
      </c>
      <c r="E12" s="52" t="e">
        <f>'Sheet 3. Total Amounts '!E12/'Formula Calculations (LOCKED)'!$B12</f>
        <v>#DIV/0!</v>
      </c>
      <c r="F12" s="52" t="e">
        <f>'Sheet 3. Total Amounts '!F12/'Formula Calculations (LOCKED)'!$B12</f>
        <v>#DIV/0!</v>
      </c>
      <c r="G12" s="52" t="e">
        <f>'Sheet 3. Total Amounts '!G12/'Formula Calculations (LOCKED)'!$B12</f>
        <v>#DIV/0!</v>
      </c>
      <c r="H12" s="52" t="e">
        <f>'Sheet 3. Total Amounts '!H12/'Formula Calculations (LOCKED)'!$B12</f>
        <v>#DIV/0!</v>
      </c>
      <c r="I12" s="52" t="e">
        <f>'Sheet 3. Total Amounts '!I12/'Formula Calculations (LOCKED)'!$B12</f>
        <v>#DIV/0!</v>
      </c>
      <c r="J12" s="52" t="e">
        <f>'Sheet 3. Total Amounts '!J12/'Formula Calculations (LOCKED)'!$B12</f>
        <v>#DIV/0!</v>
      </c>
      <c r="K12" s="52" t="e">
        <f>'Sheet 3. Total Amounts '!K12/'Formula Calculations (LOCKED)'!$B12</f>
        <v>#DIV/0!</v>
      </c>
      <c r="L12" s="29" t="e">
        <f>'Sheet 3. Total Amounts '!L12/'Formula Calculations (LOCKED)'!B12</f>
        <v>#DIV/0!</v>
      </c>
      <c r="M12" s="29" t="e">
        <f>'Sheet 3. Total Amounts '!M12/'Formula Calculations (LOCKED)'!B12</f>
        <v>#DIV/0!</v>
      </c>
      <c r="N12" s="51" t="e">
        <f>'Sheet 3. Total Amounts '!N12/'Formula Calculations (LOCKED)'!B12</f>
        <v>#DIV/0!</v>
      </c>
    </row>
    <row r="13" spans="1:14" x14ac:dyDescent="0.2">
      <c r="A13" s="7">
        <f>'Sheet 2. County Level Data'!A11</f>
        <v>0</v>
      </c>
      <c r="B13" s="29" t="e">
        <f>'Sheet 3. Total Amounts '!B13/'Formula Calculations (LOCKED)'!B13</f>
        <v>#DIV/0!</v>
      </c>
      <c r="C13" s="52" t="e">
        <f>'Sheet 3. Total Amounts '!C13/'Formula Calculations (LOCKED)'!$B13</f>
        <v>#DIV/0!</v>
      </c>
      <c r="D13" s="52" t="e">
        <f>'Sheet 3. Total Amounts '!D13/'Formula Calculations (LOCKED)'!$B13</f>
        <v>#DIV/0!</v>
      </c>
      <c r="E13" s="52" t="e">
        <f>'Sheet 3. Total Amounts '!E13/'Formula Calculations (LOCKED)'!$B13</f>
        <v>#DIV/0!</v>
      </c>
      <c r="F13" s="52" t="e">
        <f>'Sheet 3. Total Amounts '!F13/'Formula Calculations (LOCKED)'!$B13</f>
        <v>#DIV/0!</v>
      </c>
      <c r="G13" s="52" t="e">
        <f>'Sheet 3. Total Amounts '!G13/'Formula Calculations (LOCKED)'!$B13</f>
        <v>#DIV/0!</v>
      </c>
      <c r="H13" s="52" t="e">
        <f>'Sheet 3. Total Amounts '!H13/'Formula Calculations (LOCKED)'!$B13</f>
        <v>#DIV/0!</v>
      </c>
      <c r="I13" s="52" t="e">
        <f>'Sheet 3. Total Amounts '!I13/'Formula Calculations (LOCKED)'!$B13</f>
        <v>#DIV/0!</v>
      </c>
      <c r="J13" s="52" t="e">
        <f>'Sheet 3. Total Amounts '!J13/'Formula Calculations (LOCKED)'!$B13</f>
        <v>#DIV/0!</v>
      </c>
      <c r="K13" s="52" t="e">
        <f>'Sheet 3. Total Amounts '!K13/'Formula Calculations (LOCKED)'!$B13</f>
        <v>#DIV/0!</v>
      </c>
      <c r="L13" s="29" t="e">
        <f>'Sheet 3. Total Amounts '!L13/'Formula Calculations (LOCKED)'!B13</f>
        <v>#DIV/0!</v>
      </c>
      <c r="M13" s="29" t="e">
        <f>'Sheet 3. Total Amounts '!M13/'Formula Calculations (LOCKED)'!B13</f>
        <v>#DIV/0!</v>
      </c>
      <c r="N13" s="51" t="e">
        <f>'Sheet 3. Total Amounts '!N13/'Formula Calculations (LOCKED)'!B13</f>
        <v>#DIV/0!</v>
      </c>
    </row>
    <row r="14" spans="1:14" x14ac:dyDescent="0.2">
      <c r="A14" s="7">
        <f>'Sheet 2. County Level Data'!A12</f>
        <v>0</v>
      </c>
      <c r="B14" s="29" t="e">
        <f>'Sheet 3. Total Amounts '!B14/'Formula Calculations (LOCKED)'!B14</f>
        <v>#DIV/0!</v>
      </c>
      <c r="C14" s="52" t="e">
        <f>'Sheet 3. Total Amounts '!C14/'Formula Calculations (LOCKED)'!$B14</f>
        <v>#DIV/0!</v>
      </c>
      <c r="D14" s="52" t="e">
        <f>'Sheet 3. Total Amounts '!D14/'Formula Calculations (LOCKED)'!$B14</f>
        <v>#DIV/0!</v>
      </c>
      <c r="E14" s="52" t="e">
        <f>'Sheet 3. Total Amounts '!E14/'Formula Calculations (LOCKED)'!$B14</f>
        <v>#DIV/0!</v>
      </c>
      <c r="F14" s="52" t="e">
        <f>'Sheet 3. Total Amounts '!F14/'Formula Calculations (LOCKED)'!$B14</f>
        <v>#DIV/0!</v>
      </c>
      <c r="G14" s="52" t="e">
        <f>'Sheet 3. Total Amounts '!G14/'Formula Calculations (LOCKED)'!$B14</f>
        <v>#DIV/0!</v>
      </c>
      <c r="H14" s="52" t="e">
        <f>'Sheet 3. Total Amounts '!H14/'Formula Calculations (LOCKED)'!$B14</f>
        <v>#DIV/0!</v>
      </c>
      <c r="I14" s="52" t="e">
        <f>'Sheet 3. Total Amounts '!I14/'Formula Calculations (LOCKED)'!$B14</f>
        <v>#DIV/0!</v>
      </c>
      <c r="J14" s="52" t="e">
        <f>'Sheet 3. Total Amounts '!J14/'Formula Calculations (LOCKED)'!$B14</f>
        <v>#DIV/0!</v>
      </c>
      <c r="K14" s="52" t="e">
        <f>'Sheet 3. Total Amounts '!K14/'Formula Calculations (LOCKED)'!$B14</f>
        <v>#DIV/0!</v>
      </c>
      <c r="L14" s="29" t="e">
        <f>'Sheet 3. Total Amounts '!L14/'Formula Calculations (LOCKED)'!B14</f>
        <v>#DIV/0!</v>
      </c>
      <c r="M14" s="29" t="e">
        <f>'Sheet 3. Total Amounts '!M14/'Formula Calculations (LOCKED)'!B14</f>
        <v>#DIV/0!</v>
      </c>
      <c r="N14" s="51" t="e">
        <f>'Sheet 3. Total Amounts '!N14/'Formula Calculations (LOCKED)'!B14</f>
        <v>#DIV/0!</v>
      </c>
    </row>
    <row r="15" spans="1:14" x14ac:dyDescent="0.2">
      <c r="A15" s="7">
        <f>'Sheet 2. County Level Data'!A13</f>
        <v>0</v>
      </c>
      <c r="B15" s="29" t="e">
        <f>'Sheet 3. Total Amounts '!B15/'Formula Calculations (LOCKED)'!B15</f>
        <v>#DIV/0!</v>
      </c>
      <c r="C15" s="52" t="e">
        <f>'Sheet 3. Total Amounts '!C15/'Formula Calculations (LOCKED)'!$B15</f>
        <v>#DIV/0!</v>
      </c>
      <c r="D15" s="52" t="e">
        <f>'Sheet 3. Total Amounts '!D15/'Formula Calculations (LOCKED)'!$B15</f>
        <v>#DIV/0!</v>
      </c>
      <c r="E15" s="52" t="e">
        <f>'Sheet 3. Total Amounts '!E15/'Formula Calculations (LOCKED)'!$B15</f>
        <v>#DIV/0!</v>
      </c>
      <c r="F15" s="52" t="e">
        <f>'Sheet 3. Total Amounts '!F15/'Formula Calculations (LOCKED)'!$B15</f>
        <v>#DIV/0!</v>
      </c>
      <c r="G15" s="52" t="e">
        <f>'Sheet 3. Total Amounts '!G15/'Formula Calculations (LOCKED)'!$B15</f>
        <v>#DIV/0!</v>
      </c>
      <c r="H15" s="52" t="e">
        <f>'Sheet 3. Total Amounts '!H15/'Formula Calculations (LOCKED)'!$B15</f>
        <v>#DIV/0!</v>
      </c>
      <c r="I15" s="52" t="e">
        <f>'Sheet 3. Total Amounts '!I15/'Formula Calculations (LOCKED)'!$B15</f>
        <v>#DIV/0!</v>
      </c>
      <c r="J15" s="52" t="e">
        <f>'Sheet 3. Total Amounts '!J15/'Formula Calculations (LOCKED)'!$B15</f>
        <v>#DIV/0!</v>
      </c>
      <c r="K15" s="52" t="e">
        <f>'Sheet 3. Total Amounts '!K15/'Formula Calculations (LOCKED)'!$B15</f>
        <v>#DIV/0!</v>
      </c>
      <c r="L15" s="29" t="e">
        <f>'Sheet 3. Total Amounts '!L15/'Formula Calculations (LOCKED)'!B15</f>
        <v>#DIV/0!</v>
      </c>
      <c r="M15" s="29" t="e">
        <f>'Sheet 3. Total Amounts '!M15/'Formula Calculations (LOCKED)'!B15</f>
        <v>#DIV/0!</v>
      </c>
      <c r="N15" s="51" t="e">
        <f>'Sheet 3. Total Amounts '!N15/'Formula Calculations (LOCKED)'!B15</f>
        <v>#DIV/0!</v>
      </c>
    </row>
    <row r="16" spans="1:14" x14ac:dyDescent="0.2">
      <c r="A16" s="7">
        <f>'Sheet 2. County Level Data'!A14</f>
        <v>0</v>
      </c>
      <c r="B16" s="29" t="e">
        <f>'Sheet 3. Total Amounts '!B16/'Formula Calculations (LOCKED)'!B16</f>
        <v>#DIV/0!</v>
      </c>
      <c r="C16" s="52" t="e">
        <f>'Sheet 3. Total Amounts '!C16/'Formula Calculations (LOCKED)'!$B16</f>
        <v>#DIV/0!</v>
      </c>
      <c r="D16" s="52" t="e">
        <f>'Sheet 3. Total Amounts '!D16/'Formula Calculations (LOCKED)'!$B16</f>
        <v>#DIV/0!</v>
      </c>
      <c r="E16" s="52" t="e">
        <f>'Sheet 3. Total Amounts '!E16/'Formula Calculations (LOCKED)'!$B16</f>
        <v>#DIV/0!</v>
      </c>
      <c r="F16" s="52" t="e">
        <f>'Sheet 3. Total Amounts '!F16/'Formula Calculations (LOCKED)'!$B16</f>
        <v>#DIV/0!</v>
      </c>
      <c r="G16" s="52" t="e">
        <f>'Sheet 3. Total Amounts '!G16/'Formula Calculations (LOCKED)'!$B16</f>
        <v>#DIV/0!</v>
      </c>
      <c r="H16" s="52" t="e">
        <f>'Sheet 3. Total Amounts '!H16/'Formula Calculations (LOCKED)'!$B16</f>
        <v>#DIV/0!</v>
      </c>
      <c r="I16" s="52" t="e">
        <f>'Sheet 3. Total Amounts '!I16/'Formula Calculations (LOCKED)'!$B16</f>
        <v>#DIV/0!</v>
      </c>
      <c r="J16" s="52" t="e">
        <f>'Sheet 3. Total Amounts '!J16/'Formula Calculations (LOCKED)'!$B16</f>
        <v>#DIV/0!</v>
      </c>
      <c r="K16" s="52" t="e">
        <f>'Sheet 3. Total Amounts '!K16/'Formula Calculations (LOCKED)'!$B16</f>
        <v>#DIV/0!</v>
      </c>
      <c r="L16" s="29" t="e">
        <f>'Sheet 3. Total Amounts '!L16/'Formula Calculations (LOCKED)'!B16</f>
        <v>#DIV/0!</v>
      </c>
      <c r="M16" s="29" t="e">
        <f>'Sheet 3. Total Amounts '!M16/'Formula Calculations (LOCKED)'!B16</f>
        <v>#DIV/0!</v>
      </c>
      <c r="N16" s="51" t="e">
        <f>'Sheet 3. Total Amounts '!N16/'Formula Calculations (LOCKED)'!B16</f>
        <v>#DIV/0!</v>
      </c>
    </row>
    <row r="17" spans="1:14" x14ac:dyDescent="0.2">
      <c r="A17" s="7">
        <f>'Sheet 2. County Level Data'!A15</f>
        <v>0</v>
      </c>
      <c r="B17" s="29" t="e">
        <f>'Sheet 3. Total Amounts '!B17/'Formula Calculations (LOCKED)'!B17</f>
        <v>#DIV/0!</v>
      </c>
      <c r="C17" s="52" t="e">
        <f>'Sheet 3. Total Amounts '!C17/'Formula Calculations (LOCKED)'!$B17</f>
        <v>#DIV/0!</v>
      </c>
      <c r="D17" s="52" t="e">
        <f>'Sheet 3. Total Amounts '!D17/'Formula Calculations (LOCKED)'!$B17</f>
        <v>#DIV/0!</v>
      </c>
      <c r="E17" s="52" t="e">
        <f>'Sheet 3. Total Amounts '!E17/'Formula Calculations (LOCKED)'!$B17</f>
        <v>#DIV/0!</v>
      </c>
      <c r="F17" s="52" t="e">
        <f>'Sheet 3. Total Amounts '!F17/'Formula Calculations (LOCKED)'!$B17</f>
        <v>#DIV/0!</v>
      </c>
      <c r="G17" s="52" t="e">
        <f>'Sheet 3. Total Amounts '!G17/'Formula Calculations (LOCKED)'!$B17</f>
        <v>#DIV/0!</v>
      </c>
      <c r="H17" s="52" t="e">
        <f>'Sheet 3. Total Amounts '!H17/'Formula Calculations (LOCKED)'!$B17</f>
        <v>#DIV/0!</v>
      </c>
      <c r="I17" s="52" t="e">
        <f>'Sheet 3. Total Amounts '!I17/'Formula Calculations (LOCKED)'!$B17</f>
        <v>#DIV/0!</v>
      </c>
      <c r="J17" s="52" t="e">
        <f>'Sheet 3. Total Amounts '!J17/'Formula Calculations (LOCKED)'!$B17</f>
        <v>#DIV/0!</v>
      </c>
      <c r="K17" s="52" t="e">
        <f>'Sheet 3. Total Amounts '!K17/'Formula Calculations (LOCKED)'!$B17</f>
        <v>#DIV/0!</v>
      </c>
      <c r="L17" s="29" t="e">
        <f>'Sheet 3. Total Amounts '!L17/'Formula Calculations (LOCKED)'!B17</f>
        <v>#DIV/0!</v>
      </c>
      <c r="M17" s="29" t="e">
        <f>'Sheet 3. Total Amounts '!M17/'Formula Calculations (LOCKED)'!B17</f>
        <v>#DIV/0!</v>
      </c>
      <c r="N17" s="51" t="e">
        <f>'Sheet 3. Total Amounts '!N17/'Formula Calculations (LOCKED)'!B17</f>
        <v>#DIV/0!</v>
      </c>
    </row>
    <row r="18" spans="1:14" x14ac:dyDescent="0.2">
      <c r="A18" s="7">
        <f>'Sheet 2. County Level Data'!A16</f>
        <v>0</v>
      </c>
      <c r="B18" s="29" t="e">
        <f>'Sheet 3. Total Amounts '!B18/'Formula Calculations (LOCKED)'!B18</f>
        <v>#DIV/0!</v>
      </c>
      <c r="C18" s="52" t="e">
        <f>'Sheet 3. Total Amounts '!C18/'Formula Calculations (LOCKED)'!$B18</f>
        <v>#DIV/0!</v>
      </c>
      <c r="D18" s="52" t="e">
        <f>'Sheet 3. Total Amounts '!D18/'Formula Calculations (LOCKED)'!$B18</f>
        <v>#DIV/0!</v>
      </c>
      <c r="E18" s="52" t="e">
        <f>'Sheet 3. Total Amounts '!E18/'Formula Calculations (LOCKED)'!$B18</f>
        <v>#DIV/0!</v>
      </c>
      <c r="F18" s="52" t="e">
        <f>'Sheet 3. Total Amounts '!F18/'Formula Calculations (LOCKED)'!$B18</f>
        <v>#DIV/0!</v>
      </c>
      <c r="G18" s="52" t="e">
        <f>'Sheet 3. Total Amounts '!G18/'Formula Calculations (LOCKED)'!$B18</f>
        <v>#DIV/0!</v>
      </c>
      <c r="H18" s="52" t="e">
        <f>'Sheet 3. Total Amounts '!H18/'Formula Calculations (LOCKED)'!$B18</f>
        <v>#DIV/0!</v>
      </c>
      <c r="I18" s="52" t="e">
        <f>'Sheet 3. Total Amounts '!I18/'Formula Calculations (LOCKED)'!$B18</f>
        <v>#DIV/0!</v>
      </c>
      <c r="J18" s="52" t="e">
        <f>'Sheet 3. Total Amounts '!J18/'Formula Calculations (LOCKED)'!$B18</f>
        <v>#DIV/0!</v>
      </c>
      <c r="K18" s="52" t="e">
        <f>'Sheet 3. Total Amounts '!K18/'Formula Calculations (LOCKED)'!$B18</f>
        <v>#DIV/0!</v>
      </c>
      <c r="L18" s="29" t="e">
        <f>'Sheet 3. Total Amounts '!L18/'Formula Calculations (LOCKED)'!B18</f>
        <v>#DIV/0!</v>
      </c>
      <c r="M18" s="29" t="e">
        <f>'Sheet 3. Total Amounts '!M18/'Formula Calculations (LOCKED)'!B18</f>
        <v>#DIV/0!</v>
      </c>
      <c r="N18" s="51" t="e">
        <f>'Sheet 3. Total Amounts '!N18/'Formula Calculations (LOCKED)'!B18</f>
        <v>#DIV/0!</v>
      </c>
    </row>
    <row r="19" spans="1:14" x14ac:dyDescent="0.2">
      <c r="A19" s="7">
        <f>'Sheet 2. County Level Data'!A17</f>
        <v>0</v>
      </c>
      <c r="B19" s="29" t="e">
        <f>'Sheet 3. Total Amounts '!B19/'Formula Calculations (LOCKED)'!B19</f>
        <v>#DIV/0!</v>
      </c>
      <c r="C19" s="52" t="e">
        <f>'Sheet 3. Total Amounts '!C19/'Formula Calculations (LOCKED)'!$B19</f>
        <v>#DIV/0!</v>
      </c>
      <c r="D19" s="52" t="e">
        <f>'Sheet 3. Total Amounts '!D19/'Formula Calculations (LOCKED)'!$B19</f>
        <v>#DIV/0!</v>
      </c>
      <c r="E19" s="52" t="e">
        <f>'Sheet 3. Total Amounts '!E19/'Formula Calculations (LOCKED)'!$B19</f>
        <v>#DIV/0!</v>
      </c>
      <c r="F19" s="52" t="e">
        <f>'Sheet 3. Total Amounts '!F19/'Formula Calculations (LOCKED)'!$B19</f>
        <v>#DIV/0!</v>
      </c>
      <c r="G19" s="52" t="e">
        <f>'Sheet 3. Total Amounts '!G19/'Formula Calculations (LOCKED)'!$B19</f>
        <v>#DIV/0!</v>
      </c>
      <c r="H19" s="52" t="e">
        <f>'Sheet 3. Total Amounts '!H19/'Formula Calculations (LOCKED)'!$B19</f>
        <v>#DIV/0!</v>
      </c>
      <c r="I19" s="52" t="e">
        <f>'Sheet 3. Total Amounts '!I19/'Formula Calculations (LOCKED)'!$B19</f>
        <v>#DIV/0!</v>
      </c>
      <c r="J19" s="52" t="e">
        <f>'Sheet 3. Total Amounts '!J19/'Formula Calculations (LOCKED)'!$B19</f>
        <v>#DIV/0!</v>
      </c>
      <c r="K19" s="52" t="e">
        <f>'Sheet 3. Total Amounts '!K19/'Formula Calculations (LOCKED)'!$B19</f>
        <v>#DIV/0!</v>
      </c>
      <c r="L19" s="29" t="e">
        <f>'Sheet 3. Total Amounts '!L19/'Formula Calculations (LOCKED)'!B19</f>
        <v>#DIV/0!</v>
      </c>
      <c r="M19" s="29" t="e">
        <f>'Sheet 3. Total Amounts '!M19/'Formula Calculations (LOCKED)'!B19</f>
        <v>#DIV/0!</v>
      </c>
      <c r="N19" s="51" t="e">
        <f>'Sheet 3. Total Amounts '!N19/'Formula Calculations (LOCKED)'!B19</f>
        <v>#DIV/0!</v>
      </c>
    </row>
    <row r="20" spans="1:14" x14ac:dyDescent="0.2">
      <c r="A20" s="7">
        <f>'Sheet 2. County Level Data'!A18</f>
        <v>0</v>
      </c>
      <c r="B20" s="29" t="e">
        <f>'Sheet 3. Total Amounts '!B20/'Formula Calculations (LOCKED)'!B20</f>
        <v>#DIV/0!</v>
      </c>
      <c r="C20" s="52" t="e">
        <f>'Sheet 3. Total Amounts '!C20/'Formula Calculations (LOCKED)'!$B20</f>
        <v>#DIV/0!</v>
      </c>
      <c r="D20" s="52" t="e">
        <f>'Sheet 3. Total Amounts '!D20/'Formula Calculations (LOCKED)'!$B20</f>
        <v>#DIV/0!</v>
      </c>
      <c r="E20" s="52" t="e">
        <f>'Sheet 3. Total Amounts '!E20/'Formula Calculations (LOCKED)'!$B20</f>
        <v>#DIV/0!</v>
      </c>
      <c r="F20" s="52" t="e">
        <f>'Sheet 3. Total Amounts '!F20/'Formula Calculations (LOCKED)'!$B20</f>
        <v>#DIV/0!</v>
      </c>
      <c r="G20" s="52" t="e">
        <f>'Sheet 3. Total Amounts '!G20/'Formula Calculations (LOCKED)'!$B20</f>
        <v>#DIV/0!</v>
      </c>
      <c r="H20" s="52" t="e">
        <f>'Sheet 3. Total Amounts '!H20/'Formula Calculations (LOCKED)'!$B20</f>
        <v>#DIV/0!</v>
      </c>
      <c r="I20" s="52" t="e">
        <f>'Sheet 3. Total Amounts '!I20/'Formula Calculations (LOCKED)'!$B20</f>
        <v>#DIV/0!</v>
      </c>
      <c r="J20" s="52" t="e">
        <f>'Sheet 3. Total Amounts '!J20/'Formula Calculations (LOCKED)'!$B20</f>
        <v>#DIV/0!</v>
      </c>
      <c r="K20" s="52" t="e">
        <f>'Sheet 3. Total Amounts '!K20/'Formula Calculations (LOCKED)'!$B20</f>
        <v>#DIV/0!</v>
      </c>
      <c r="L20" s="29" t="e">
        <f>'Sheet 3. Total Amounts '!L20/'Formula Calculations (LOCKED)'!B20</f>
        <v>#DIV/0!</v>
      </c>
      <c r="M20" s="29" t="e">
        <f>'Sheet 3. Total Amounts '!M20/'Formula Calculations (LOCKED)'!B20</f>
        <v>#DIV/0!</v>
      </c>
      <c r="N20" s="51" t="e">
        <f>'Sheet 3. Total Amounts '!N20/'Formula Calculations (LOCKED)'!B20</f>
        <v>#DIV/0!</v>
      </c>
    </row>
    <row r="21" spans="1:14" x14ac:dyDescent="0.2">
      <c r="A21" s="7">
        <f>'Sheet 2. County Level Data'!A19</f>
        <v>0</v>
      </c>
      <c r="B21" s="29" t="e">
        <f>'Sheet 3. Total Amounts '!B21/'Formula Calculations (LOCKED)'!B21</f>
        <v>#DIV/0!</v>
      </c>
      <c r="C21" s="52" t="e">
        <f>'Sheet 3. Total Amounts '!C21/'Formula Calculations (LOCKED)'!$B21</f>
        <v>#DIV/0!</v>
      </c>
      <c r="D21" s="52" t="e">
        <f>'Sheet 3. Total Amounts '!D21/'Formula Calculations (LOCKED)'!$B21</f>
        <v>#DIV/0!</v>
      </c>
      <c r="E21" s="52" t="e">
        <f>'Sheet 3. Total Amounts '!E21/'Formula Calculations (LOCKED)'!$B21</f>
        <v>#DIV/0!</v>
      </c>
      <c r="F21" s="52" t="e">
        <f>'Sheet 3. Total Amounts '!F21/'Formula Calculations (LOCKED)'!$B21</f>
        <v>#DIV/0!</v>
      </c>
      <c r="G21" s="52" t="e">
        <f>'Sheet 3. Total Amounts '!G21/'Formula Calculations (LOCKED)'!$B21</f>
        <v>#DIV/0!</v>
      </c>
      <c r="H21" s="52" t="e">
        <f>'Sheet 3. Total Amounts '!H21/'Formula Calculations (LOCKED)'!$B21</f>
        <v>#DIV/0!</v>
      </c>
      <c r="I21" s="52" t="e">
        <f>'Sheet 3. Total Amounts '!I21/'Formula Calculations (LOCKED)'!$B21</f>
        <v>#DIV/0!</v>
      </c>
      <c r="J21" s="52" t="e">
        <f>'Sheet 3. Total Amounts '!J21/'Formula Calculations (LOCKED)'!$B21</f>
        <v>#DIV/0!</v>
      </c>
      <c r="K21" s="52" t="e">
        <f>'Sheet 3. Total Amounts '!K21/'Formula Calculations (LOCKED)'!$B21</f>
        <v>#DIV/0!</v>
      </c>
      <c r="L21" s="29" t="e">
        <f>'Sheet 3. Total Amounts '!L21/'Formula Calculations (LOCKED)'!B21</f>
        <v>#DIV/0!</v>
      </c>
      <c r="M21" s="29" t="e">
        <f>'Sheet 3. Total Amounts '!M21/'Formula Calculations (LOCKED)'!B21</f>
        <v>#DIV/0!</v>
      </c>
      <c r="N21" s="51" t="e">
        <f>'Sheet 3. Total Amounts '!N21/'Formula Calculations (LOCKED)'!B21</f>
        <v>#DIV/0!</v>
      </c>
    </row>
    <row r="22" spans="1:14" x14ac:dyDescent="0.2">
      <c r="A22" s="7">
        <f>'Sheet 2. County Level Data'!A20</f>
        <v>0</v>
      </c>
      <c r="B22" s="29" t="e">
        <f>'Sheet 3. Total Amounts '!B22/'Formula Calculations (LOCKED)'!B22</f>
        <v>#DIV/0!</v>
      </c>
      <c r="C22" s="52" t="e">
        <f>'Sheet 3. Total Amounts '!C22/'Formula Calculations (LOCKED)'!$B22</f>
        <v>#DIV/0!</v>
      </c>
      <c r="D22" s="52" t="e">
        <f>'Sheet 3. Total Amounts '!D22/'Formula Calculations (LOCKED)'!$B22</f>
        <v>#DIV/0!</v>
      </c>
      <c r="E22" s="52" t="e">
        <f>'Sheet 3. Total Amounts '!E22/'Formula Calculations (LOCKED)'!$B22</f>
        <v>#DIV/0!</v>
      </c>
      <c r="F22" s="52" t="e">
        <f>'Sheet 3. Total Amounts '!F22/'Formula Calculations (LOCKED)'!$B22</f>
        <v>#DIV/0!</v>
      </c>
      <c r="G22" s="52" t="e">
        <f>'Sheet 3. Total Amounts '!G22/'Formula Calculations (LOCKED)'!$B22</f>
        <v>#DIV/0!</v>
      </c>
      <c r="H22" s="52" t="e">
        <f>'Sheet 3. Total Amounts '!H22/'Formula Calculations (LOCKED)'!$B22</f>
        <v>#DIV/0!</v>
      </c>
      <c r="I22" s="52" t="e">
        <f>'Sheet 3. Total Amounts '!I22/'Formula Calculations (LOCKED)'!$B22</f>
        <v>#DIV/0!</v>
      </c>
      <c r="J22" s="52" t="e">
        <f>'Sheet 3. Total Amounts '!J22/'Formula Calculations (LOCKED)'!$B22</f>
        <v>#DIV/0!</v>
      </c>
      <c r="K22" s="52" t="e">
        <f>'Sheet 3. Total Amounts '!K22/'Formula Calculations (LOCKED)'!$B22</f>
        <v>#DIV/0!</v>
      </c>
      <c r="L22" s="29" t="e">
        <f>'Sheet 3. Total Amounts '!L22/'Formula Calculations (LOCKED)'!B22</f>
        <v>#DIV/0!</v>
      </c>
      <c r="M22" s="29" t="e">
        <f>'Sheet 3. Total Amounts '!M22/'Formula Calculations (LOCKED)'!B22</f>
        <v>#DIV/0!</v>
      </c>
      <c r="N22" s="51" t="e">
        <f>'Sheet 3. Total Amounts '!N22/'Formula Calculations (LOCKED)'!B22</f>
        <v>#DIV/0!</v>
      </c>
    </row>
    <row r="23" spans="1:14" x14ac:dyDescent="0.2">
      <c r="A23" s="7">
        <f>'Sheet 2. County Level Data'!A21</f>
        <v>0</v>
      </c>
      <c r="B23" s="29" t="e">
        <f>'Sheet 3. Total Amounts '!B23/'Formula Calculations (LOCKED)'!B23</f>
        <v>#DIV/0!</v>
      </c>
      <c r="C23" s="52" t="e">
        <f>'Sheet 3. Total Amounts '!C23/'Formula Calculations (LOCKED)'!$B23</f>
        <v>#DIV/0!</v>
      </c>
      <c r="D23" s="52" t="e">
        <f>'Sheet 3. Total Amounts '!D23/'Formula Calculations (LOCKED)'!$B23</f>
        <v>#DIV/0!</v>
      </c>
      <c r="E23" s="52" t="e">
        <f>'Sheet 3. Total Amounts '!E23/'Formula Calculations (LOCKED)'!$B23</f>
        <v>#DIV/0!</v>
      </c>
      <c r="F23" s="52" t="e">
        <f>'Sheet 3. Total Amounts '!F23/'Formula Calculations (LOCKED)'!$B23</f>
        <v>#DIV/0!</v>
      </c>
      <c r="G23" s="52" t="e">
        <f>'Sheet 3. Total Amounts '!G23/'Formula Calculations (LOCKED)'!$B23</f>
        <v>#DIV/0!</v>
      </c>
      <c r="H23" s="52" t="e">
        <f>'Sheet 3. Total Amounts '!H23/'Formula Calculations (LOCKED)'!$B23</f>
        <v>#DIV/0!</v>
      </c>
      <c r="I23" s="52" t="e">
        <f>'Sheet 3. Total Amounts '!I23/'Formula Calculations (LOCKED)'!$B23</f>
        <v>#DIV/0!</v>
      </c>
      <c r="J23" s="52" t="e">
        <f>'Sheet 3. Total Amounts '!J23/'Formula Calculations (LOCKED)'!$B23</f>
        <v>#DIV/0!</v>
      </c>
      <c r="K23" s="52" t="e">
        <f>'Sheet 3. Total Amounts '!K23/'Formula Calculations (LOCKED)'!$B23</f>
        <v>#DIV/0!</v>
      </c>
      <c r="L23" s="29" t="e">
        <f>'Sheet 3. Total Amounts '!L23/'Formula Calculations (LOCKED)'!B23</f>
        <v>#DIV/0!</v>
      </c>
      <c r="M23" s="29" t="e">
        <f>'Sheet 3. Total Amounts '!M23/'Formula Calculations (LOCKED)'!B23</f>
        <v>#DIV/0!</v>
      </c>
      <c r="N23" s="51" t="e">
        <f>'Sheet 3. Total Amounts '!N23/'Formula Calculations (LOCKED)'!B23</f>
        <v>#DIV/0!</v>
      </c>
    </row>
    <row r="24" spans="1:14" x14ac:dyDescent="0.2">
      <c r="A24" s="7">
        <f>'Sheet 2. County Level Data'!A22</f>
        <v>0</v>
      </c>
      <c r="B24" s="29" t="e">
        <f>'Sheet 3. Total Amounts '!B24/'Formula Calculations (LOCKED)'!B24</f>
        <v>#DIV/0!</v>
      </c>
      <c r="C24" s="52" t="e">
        <f>'Sheet 3. Total Amounts '!C24/'Formula Calculations (LOCKED)'!$B24</f>
        <v>#DIV/0!</v>
      </c>
      <c r="D24" s="52" t="e">
        <f>'Sheet 3. Total Amounts '!D24/'Formula Calculations (LOCKED)'!$B24</f>
        <v>#DIV/0!</v>
      </c>
      <c r="E24" s="52" t="e">
        <f>'Sheet 3. Total Amounts '!E24/'Formula Calculations (LOCKED)'!$B24</f>
        <v>#DIV/0!</v>
      </c>
      <c r="F24" s="52" t="e">
        <f>'Sheet 3. Total Amounts '!F24/'Formula Calculations (LOCKED)'!$B24</f>
        <v>#DIV/0!</v>
      </c>
      <c r="G24" s="52" t="e">
        <f>'Sheet 3. Total Amounts '!G24/'Formula Calculations (LOCKED)'!$B24</f>
        <v>#DIV/0!</v>
      </c>
      <c r="H24" s="52" t="e">
        <f>'Sheet 3. Total Amounts '!H24/'Formula Calculations (LOCKED)'!$B24</f>
        <v>#DIV/0!</v>
      </c>
      <c r="I24" s="52" t="e">
        <f>'Sheet 3. Total Amounts '!I24/'Formula Calculations (LOCKED)'!$B24</f>
        <v>#DIV/0!</v>
      </c>
      <c r="J24" s="52" t="e">
        <f>'Sheet 3. Total Amounts '!J24/'Formula Calculations (LOCKED)'!$B24</f>
        <v>#DIV/0!</v>
      </c>
      <c r="K24" s="52" t="e">
        <f>'Sheet 3. Total Amounts '!K24/'Formula Calculations (LOCKED)'!$B24</f>
        <v>#DIV/0!</v>
      </c>
      <c r="L24" s="29" t="e">
        <f>'Sheet 3. Total Amounts '!L24/'Formula Calculations (LOCKED)'!B24</f>
        <v>#DIV/0!</v>
      </c>
      <c r="M24" s="29" t="e">
        <f>'Sheet 3. Total Amounts '!M24/'Formula Calculations (LOCKED)'!B24</f>
        <v>#DIV/0!</v>
      </c>
      <c r="N24" s="51" t="e">
        <f>'Sheet 3. Total Amounts '!N24/'Formula Calculations (LOCKED)'!B24</f>
        <v>#DIV/0!</v>
      </c>
    </row>
    <row r="25" spans="1:14" x14ac:dyDescent="0.2">
      <c r="A25" s="7">
        <f>'Sheet 2. County Level Data'!A23</f>
        <v>0</v>
      </c>
      <c r="B25" s="29" t="e">
        <f>'Sheet 3. Total Amounts '!B25/'Formula Calculations (LOCKED)'!B25</f>
        <v>#DIV/0!</v>
      </c>
      <c r="C25" s="52" t="e">
        <f>'Sheet 3. Total Amounts '!C25/'Formula Calculations (LOCKED)'!$B25</f>
        <v>#DIV/0!</v>
      </c>
      <c r="D25" s="52" t="e">
        <f>'Sheet 3. Total Amounts '!D25/'Formula Calculations (LOCKED)'!$B25</f>
        <v>#DIV/0!</v>
      </c>
      <c r="E25" s="52" t="e">
        <f>'Sheet 3. Total Amounts '!E25/'Formula Calculations (LOCKED)'!$B25</f>
        <v>#DIV/0!</v>
      </c>
      <c r="F25" s="52" t="e">
        <f>'Sheet 3. Total Amounts '!F25/'Formula Calculations (LOCKED)'!$B25</f>
        <v>#DIV/0!</v>
      </c>
      <c r="G25" s="52" t="e">
        <f>'Sheet 3. Total Amounts '!G25/'Formula Calculations (LOCKED)'!$B25</f>
        <v>#DIV/0!</v>
      </c>
      <c r="H25" s="52" t="e">
        <f>'Sheet 3. Total Amounts '!H25/'Formula Calculations (LOCKED)'!$B25</f>
        <v>#DIV/0!</v>
      </c>
      <c r="I25" s="52" t="e">
        <f>'Sheet 3. Total Amounts '!I25/'Formula Calculations (LOCKED)'!$B25</f>
        <v>#DIV/0!</v>
      </c>
      <c r="J25" s="52" t="e">
        <f>'Sheet 3. Total Amounts '!J25/'Formula Calculations (LOCKED)'!$B25</f>
        <v>#DIV/0!</v>
      </c>
      <c r="K25" s="52" t="e">
        <f>'Sheet 3. Total Amounts '!K25/'Formula Calculations (LOCKED)'!$B25</f>
        <v>#DIV/0!</v>
      </c>
      <c r="L25" s="29" t="e">
        <f>'Sheet 3. Total Amounts '!L25/'Formula Calculations (LOCKED)'!B25</f>
        <v>#DIV/0!</v>
      </c>
      <c r="M25" s="29" t="e">
        <f>'Sheet 3. Total Amounts '!M25/'Formula Calculations (LOCKED)'!B25</f>
        <v>#DIV/0!</v>
      </c>
      <c r="N25" s="51" t="e">
        <f>'Sheet 3. Total Amounts '!N25/'Formula Calculations (LOCKED)'!B25</f>
        <v>#DIV/0!</v>
      </c>
    </row>
    <row r="26" spans="1:14" x14ac:dyDescent="0.2">
      <c r="A26" s="7">
        <f>'Sheet 2. County Level Data'!A24</f>
        <v>0</v>
      </c>
      <c r="B26" s="29" t="e">
        <f>'Sheet 3. Total Amounts '!B26/'Formula Calculations (LOCKED)'!B26</f>
        <v>#DIV/0!</v>
      </c>
      <c r="C26" s="52" t="e">
        <f>'Sheet 3. Total Amounts '!C26/'Formula Calculations (LOCKED)'!$B26</f>
        <v>#DIV/0!</v>
      </c>
      <c r="D26" s="52" t="e">
        <f>'Sheet 3. Total Amounts '!D26/'Formula Calculations (LOCKED)'!$B26</f>
        <v>#DIV/0!</v>
      </c>
      <c r="E26" s="52" t="e">
        <f>'Sheet 3. Total Amounts '!E26/'Formula Calculations (LOCKED)'!$B26</f>
        <v>#DIV/0!</v>
      </c>
      <c r="F26" s="52" t="e">
        <f>'Sheet 3. Total Amounts '!F26/'Formula Calculations (LOCKED)'!$B26</f>
        <v>#DIV/0!</v>
      </c>
      <c r="G26" s="52" t="e">
        <f>'Sheet 3. Total Amounts '!G26/'Formula Calculations (LOCKED)'!$B26</f>
        <v>#DIV/0!</v>
      </c>
      <c r="H26" s="52" t="e">
        <f>'Sheet 3. Total Amounts '!H26/'Formula Calculations (LOCKED)'!$B26</f>
        <v>#DIV/0!</v>
      </c>
      <c r="I26" s="52" t="e">
        <f>'Sheet 3. Total Amounts '!I26/'Formula Calculations (LOCKED)'!$B26</f>
        <v>#DIV/0!</v>
      </c>
      <c r="J26" s="52" t="e">
        <f>'Sheet 3. Total Amounts '!J26/'Formula Calculations (LOCKED)'!$B26</f>
        <v>#DIV/0!</v>
      </c>
      <c r="K26" s="52" t="e">
        <f>'Sheet 3. Total Amounts '!K26/'Formula Calculations (LOCKED)'!$B26</f>
        <v>#DIV/0!</v>
      </c>
      <c r="L26" s="29" t="e">
        <f>'Sheet 3. Total Amounts '!L26/'Formula Calculations (LOCKED)'!B26</f>
        <v>#DIV/0!</v>
      </c>
      <c r="M26" s="29" t="e">
        <f>'Sheet 3. Total Amounts '!M26/'Formula Calculations (LOCKED)'!B26</f>
        <v>#DIV/0!</v>
      </c>
      <c r="N26" s="51" t="e">
        <f>'Sheet 3. Total Amounts '!N26/'Formula Calculations (LOCKED)'!B26</f>
        <v>#DIV/0!</v>
      </c>
    </row>
    <row r="27" spans="1:14" x14ac:dyDescent="0.2">
      <c r="A27" s="7">
        <f>'Sheet 2. County Level Data'!A25</f>
        <v>0</v>
      </c>
      <c r="B27" s="29" t="e">
        <f>'Sheet 3. Total Amounts '!B27/'Formula Calculations (LOCKED)'!B27</f>
        <v>#DIV/0!</v>
      </c>
      <c r="C27" s="52" t="e">
        <f>'Sheet 3. Total Amounts '!C27/'Formula Calculations (LOCKED)'!$B27</f>
        <v>#DIV/0!</v>
      </c>
      <c r="D27" s="52" t="e">
        <f>'Sheet 3. Total Amounts '!D27/'Formula Calculations (LOCKED)'!$B27</f>
        <v>#DIV/0!</v>
      </c>
      <c r="E27" s="52" t="e">
        <f>'Sheet 3. Total Amounts '!E27/'Formula Calculations (LOCKED)'!$B27</f>
        <v>#DIV/0!</v>
      </c>
      <c r="F27" s="52" t="e">
        <f>'Sheet 3. Total Amounts '!F27/'Formula Calculations (LOCKED)'!$B27</f>
        <v>#DIV/0!</v>
      </c>
      <c r="G27" s="52" t="e">
        <f>'Sheet 3. Total Amounts '!G27/'Formula Calculations (LOCKED)'!$B27</f>
        <v>#DIV/0!</v>
      </c>
      <c r="H27" s="52" t="e">
        <f>'Sheet 3. Total Amounts '!H27/'Formula Calculations (LOCKED)'!$B27</f>
        <v>#DIV/0!</v>
      </c>
      <c r="I27" s="52" t="e">
        <f>'Sheet 3. Total Amounts '!I27/'Formula Calculations (LOCKED)'!$B27</f>
        <v>#DIV/0!</v>
      </c>
      <c r="J27" s="52" t="e">
        <f>'Sheet 3. Total Amounts '!J27/'Formula Calculations (LOCKED)'!$B27</f>
        <v>#DIV/0!</v>
      </c>
      <c r="K27" s="52" t="e">
        <f>'Sheet 3. Total Amounts '!K27/'Formula Calculations (LOCKED)'!$B27</f>
        <v>#DIV/0!</v>
      </c>
      <c r="L27" s="29" t="e">
        <f>'Sheet 3. Total Amounts '!L27/'Formula Calculations (LOCKED)'!B27</f>
        <v>#DIV/0!</v>
      </c>
      <c r="M27" s="29" t="e">
        <f>'Sheet 3. Total Amounts '!M27/'Formula Calculations (LOCKED)'!B27</f>
        <v>#DIV/0!</v>
      </c>
      <c r="N27" s="51" t="e">
        <f>'Sheet 3. Total Amounts '!N27/'Formula Calculations (LOCKED)'!B27</f>
        <v>#DIV/0!</v>
      </c>
    </row>
    <row r="28" spans="1:14" x14ac:dyDescent="0.2">
      <c r="A28" s="7">
        <f>'Sheet 2. County Level Data'!A26</f>
        <v>0</v>
      </c>
      <c r="B28" s="29" t="e">
        <f>'Sheet 3. Total Amounts '!B28/'Formula Calculations (LOCKED)'!B28</f>
        <v>#DIV/0!</v>
      </c>
      <c r="C28" s="52" t="e">
        <f>'Sheet 3. Total Amounts '!C28/'Formula Calculations (LOCKED)'!$B28</f>
        <v>#DIV/0!</v>
      </c>
      <c r="D28" s="52" t="e">
        <f>'Sheet 3. Total Amounts '!D28/'Formula Calculations (LOCKED)'!$B28</f>
        <v>#DIV/0!</v>
      </c>
      <c r="E28" s="52" t="e">
        <f>'Sheet 3. Total Amounts '!E28/'Formula Calculations (LOCKED)'!$B28</f>
        <v>#DIV/0!</v>
      </c>
      <c r="F28" s="52" t="e">
        <f>'Sheet 3. Total Amounts '!F28/'Formula Calculations (LOCKED)'!$B28</f>
        <v>#DIV/0!</v>
      </c>
      <c r="G28" s="52" t="e">
        <f>'Sheet 3. Total Amounts '!G28/'Formula Calculations (LOCKED)'!$B28</f>
        <v>#DIV/0!</v>
      </c>
      <c r="H28" s="52" t="e">
        <f>'Sheet 3. Total Amounts '!H28/'Formula Calculations (LOCKED)'!$B28</f>
        <v>#DIV/0!</v>
      </c>
      <c r="I28" s="52" t="e">
        <f>'Sheet 3. Total Amounts '!I28/'Formula Calculations (LOCKED)'!$B28</f>
        <v>#DIV/0!</v>
      </c>
      <c r="J28" s="52" t="e">
        <f>'Sheet 3. Total Amounts '!J28/'Formula Calculations (LOCKED)'!$B28</f>
        <v>#DIV/0!</v>
      </c>
      <c r="K28" s="52" t="e">
        <f>'Sheet 3. Total Amounts '!K28/'Formula Calculations (LOCKED)'!$B28</f>
        <v>#DIV/0!</v>
      </c>
      <c r="L28" s="29" t="e">
        <f>'Sheet 3. Total Amounts '!L28/'Formula Calculations (LOCKED)'!B28</f>
        <v>#DIV/0!</v>
      </c>
      <c r="M28" s="29" t="e">
        <f>'Sheet 3. Total Amounts '!M28/'Formula Calculations (LOCKED)'!B28</f>
        <v>#DIV/0!</v>
      </c>
      <c r="N28" s="51" t="e">
        <f>'Sheet 3. Total Amounts '!N28/'Formula Calculations (LOCKED)'!B28</f>
        <v>#DIV/0!</v>
      </c>
    </row>
    <row r="29" spans="1:14" x14ac:dyDescent="0.2">
      <c r="A29" s="7">
        <f>'Sheet 2. County Level Data'!A27</f>
        <v>0</v>
      </c>
      <c r="B29" s="29" t="e">
        <f>'Sheet 3. Total Amounts '!B29/'Formula Calculations (LOCKED)'!B29</f>
        <v>#DIV/0!</v>
      </c>
      <c r="C29" s="52" t="e">
        <f>'Sheet 3. Total Amounts '!C29/'Formula Calculations (LOCKED)'!$B29</f>
        <v>#DIV/0!</v>
      </c>
      <c r="D29" s="52" t="e">
        <f>'Sheet 3. Total Amounts '!D29/'Formula Calculations (LOCKED)'!$B29</f>
        <v>#DIV/0!</v>
      </c>
      <c r="E29" s="52" t="e">
        <f>'Sheet 3. Total Amounts '!E29/'Formula Calculations (LOCKED)'!$B29</f>
        <v>#DIV/0!</v>
      </c>
      <c r="F29" s="52" t="e">
        <f>'Sheet 3. Total Amounts '!F29/'Formula Calculations (LOCKED)'!$B29</f>
        <v>#DIV/0!</v>
      </c>
      <c r="G29" s="52" t="e">
        <f>'Sheet 3. Total Amounts '!G29/'Formula Calculations (LOCKED)'!$B29</f>
        <v>#DIV/0!</v>
      </c>
      <c r="H29" s="52" t="e">
        <f>'Sheet 3. Total Amounts '!H29/'Formula Calculations (LOCKED)'!$B29</f>
        <v>#DIV/0!</v>
      </c>
      <c r="I29" s="52" t="e">
        <f>'Sheet 3. Total Amounts '!I29/'Formula Calculations (LOCKED)'!$B29</f>
        <v>#DIV/0!</v>
      </c>
      <c r="J29" s="52" t="e">
        <f>'Sheet 3. Total Amounts '!J29/'Formula Calculations (LOCKED)'!$B29</f>
        <v>#DIV/0!</v>
      </c>
      <c r="K29" s="52" t="e">
        <f>'Sheet 3. Total Amounts '!K29/'Formula Calculations (LOCKED)'!$B29</f>
        <v>#DIV/0!</v>
      </c>
      <c r="L29" s="29" t="e">
        <f>'Sheet 3. Total Amounts '!L29/'Formula Calculations (LOCKED)'!B29</f>
        <v>#DIV/0!</v>
      </c>
      <c r="M29" s="29" t="e">
        <f>'Sheet 3. Total Amounts '!M29/'Formula Calculations (LOCKED)'!B29</f>
        <v>#DIV/0!</v>
      </c>
      <c r="N29" s="51" t="e">
        <f>'Sheet 3. Total Amounts '!N29/'Formula Calculations (LOCKED)'!B29</f>
        <v>#DIV/0!</v>
      </c>
    </row>
    <row r="30" spans="1:14" x14ac:dyDescent="0.2">
      <c r="A30" s="7">
        <f>'Sheet 2. County Level Data'!A28</f>
        <v>0</v>
      </c>
      <c r="B30" s="29" t="e">
        <f>'Sheet 3. Total Amounts '!B30/'Formula Calculations (LOCKED)'!B30</f>
        <v>#DIV/0!</v>
      </c>
      <c r="C30" s="52" t="e">
        <f>'Sheet 3. Total Amounts '!C30/'Formula Calculations (LOCKED)'!$B30</f>
        <v>#DIV/0!</v>
      </c>
      <c r="D30" s="52" t="e">
        <f>'Sheet 3. Total Amounts '!D30/'Formula Calculations (LOCKED)'!$B30</f>
        <v>#DIV/0!</v>
      </c>
      <c r="E30" s="52" t="e">
        <f>'Sheet 3. Total Amounts '!E30/'Formula Calculations (LOCKED)'!$B30</f>
        <v>#DIV/0!</v>
      </c>
      <c r="F30" s="52" t="e">
        <f>'Sheet 3. Total Amounts '!F30/'Formula Calculations (LOCKED)'!$B30</f>
        <v>#DIV/0!</v>
      </c>
      <c r="G30" s="52" t="e">
        <f>'Sheet 3. Total Amounts '!G30/'Formula Calculations (LOCKED)'!$B30</f>
        <v>#DIV/0!</v>
      </c>
      <c r="H30" s="52" t="e">
        <f>'Sheet 3. Total Amounts '!H30/'Formula Calculations (LOCKED)'!$B30</f>
        <v>#DIV/0!</v>
      </c>
      <c r="I30" s="52" t="e">
        <f>'Sheet 3. Total Amounts '!I30/'Formula Calculations (LOCKED)'!$B30</f>
        <v>#DIV/0!</v>
      </c>
      <c r="J30" s="52" t="e">
        <f>'Sheet 3. Total Amounts '!J30/'Formula Calculations (LOCKED)'!$B30</f>
        <v>#DIV/0!</v>
      </c>
      <c r="K30" s="52" t="e">
        <f>'Sheet 3. Total Amounts '!K30/'Formula Calculations (LOCKED)'!$B30</f>
        <v>#DIV/0!</v>
      </c>
      <c r="L30" s="29" t="e">
        <f>'Sheet 3. Total Amounts '!L30/'Formula Calculations (LOCKED)'!B30</f>
        <v>#DIV/0!</v>
      </c>
      <c r="M30" s="29" t="e">
        <f>'Sheet 3. Total Amounts '!M30/'Formula Calculations (LOCKED)'!B30</f>
        <v>#DIV/0!</v>
      </c>
      <c r="N30" s="51" t="e">
        <f>'Sheet 3. Total Amounts '!N30/'Formula Calculations (LOCKED)'!B30</f>
        <v>#DIV/0!</v>
      </c>
    </row>
    <row r="31" spans="1:14" x14ac:dyDescent="0.2">
      <c r="A31" s="7">
        <f>'Sheet 2. County Level Data'!A29</f>
        <v>0</v>
      </c>
      <c r="B31" s="29" t="e">
        <f>'Sheet 3. Total Amounts '!B31/'Formula Calculations (LOCKED)'!B31</f>
        <v>#DIV/0!</v>
      </c>
      <c r="C31" s="52" t="e">
        <f>'Sheet 3. Total Amounts '!C31/'Formula Calculations (LOCKED)'!$B31</f>
        <v>#DIV/0!</v>
      </c>
      <c r="D31" s="52" t="e">
        <f>'Sheet 3. Total Amounts '!D31/'Formula Calculations (LOCKED)'!$B31</f>
        <v>#DIV/0!</v>
      </c>
      <c r="E31" s="52" t="e">
        <f>'Sheet 3. Total Amounts '!E31/'Formula Calculations (LOCKED)'!$B31</f>
        <v>#DIV/0!</v>
      </c>
      <c r="F31" s="52" t="e">
        <f>'Sheet 3. Total Amounts '!F31/'Formula Calculations (LOCKED)'!$B31</f>
        <v>#DIV/0!</v>
      </c>
      <c r="G31" s="52" t="e">
        <f>'Sheet 3. Total Amounts '!G31/'Formula Calculations (LOCKED)'!$B31</f>
        <v>#DIV/0!</v>
      </c>
      <c r="H31" s="52" t="e">
        <f>'Sheet 3. Total Amounts '!H31/'Formula Calculations (LOCKED)'!$B31</f>
        <v>#DIV/0!</v>
      </c>
      <c r="I31" s="52" t="e">
        <f>'Sheet 3. Total Amounts '!I31/'Formula Calculations (LOCKED)'!$B31</f>
        <v>#DIV/0!</v>
      </c>
      <c r="J31" s="52" t="e">
        <f>'Sheet 3. Total Amounts '!J31/'Formula Calculations (LOCKED)'!$B31</f>
        <v>#DIV/0!</v>
      </c>
      <c r="K31" s="52" t="e">
        <f>'Sheet 3. Total Amounts '!K31/'Formula Calculations (LOCKED)'!$B31</f>
        <v>#DIV/0!</v>
      </c>
      <c r="L31" s="29" t="e">
        <f>'Sheet 3. Total Amounts '!L31/'Formula Calculations (LOCKED)'!B31</f>
        <v>#DIV/0!</v>
      </c>
      <c r="M31" s="29" t="e">
        <f>'Sheet 3. Total Amounts '!M31/'Formula Calculations (LOCKED)'!B31</f>
        <v>#DIV/0!</v>
      </c>
      <c r="N31" s="51" t="e">
        <f>'Sheet 3. Total Amounts '!N31/'Formula Calculations (LOCKED)'!B31</f>
        <v>#DIV/0!</v>
      </c>
    </row>
    <row r="32" spans="1:14" x14ac:dyDescent="0.2">
      <c r="A32" s="7">
        <f>'Sheet 2. County Level Data'!A30</f>
        <v>0</v>
      </c>
      <c r="B32" s="29" t="e">
        <f>'Sheet 3. Total Amounts '!B32/'Formula Calculations (LOCKED)'!B32</f>
        <v>#DIV/0!</v>
      </c>
      <c r="C32" s="52" t="e">
        <f>'Sheet 3. Total Amounts '!C32/'Formula Calculations (LOCKED)'!$B32</f>
        <v>#DIV/0!</v>
      </c>
      <c r="D32" s="52" t="e">
        <f>'Sheet 3. Total Amounts '!D32/'Formula Calculations (LOCKED)'!$B32</f>
        <v>#DIV/0!</v>
      </c>
      <c r="E32" s="52" t="e">
        <f>'Sheet 3. Total Amounts '!E32/'Formula Calculations (LOCKED)'!$B32</f>
        <v>#DIV/0!</v>
      </c>
      <c r="F32" s="52" t="e">
        <f>'Sheet 3. Total Amounts '!F32/'Formula Calculations (LOCKED)'!$B32</f>
        <v>#DIV/0!</v>
      </c>
      <c r="G32" s="52" t="e">
        <f>'Sheet 3. Total Amounts '!G32/'Formula Calculations (LOCKED)'!$B32</f>
        <v>#DIV/0!</v>
      </c>
      <c r="H32" s="52" t="e">
        <f>'Sheet 3. Total Amounts '!H32/'Formula Calculations (LOCKED)'!$B32</f>
        <v>#DIV/0!</v>
      </c>
      <c r="I32" s="52" t="e">
        <f>'Sheet 3. Total Amounts '!I32/'Formula Calculations (LOCKED)'!$B32</f>
        <v>#DIV/0!</v>
      </c>
      <c r="J32" s="52" t="e">
        <f>'Sheet 3. Total Amounts '!J32/'Formula Calculations (LOCKED)'!$B32</f>
        <v>#DIV/0!</v>
      </c>
      <c r="K32" s="52" t="e">
        <f>'Sheet 3. Total Amounts '!K32/'Formula Calculations (LOCKED)'!$B32</f>
        <v>#DIV/0!</v>
      </c>
      <c r="L32" s="29" t="e">
        <f>'Sheet 3. Total Amounts '!L32/'Formula Calculations (LOCKED)'!B32</f>
        <v>#DIV/0!</v>
      </c>
      <c r="M32" s="29" t="e">
        <f>'Sheet 3. Total Amounts '!M32/'Formula Calculations (LOCKED)'!B32</f>
        <v>#DIV/0!</v>
      </c>
      <c r="N32" s="51" t="e">
        <f>'Sheet 3. Total Amounts '!N32/'Formula Calculations (LOCKED)'!B32</f>
        <v>#DIV/0!</v>
      </c>
    </row>
    <row r="33" spans="1:14" x14ac:dyDescent="0.2">
      <c r="A33" s="7">
        <f>'Sheet 2. County Level Data'!A31</f>
        <v>0</v>
      </c>
      <c r="B33" s="29" t="e">
        <f>'Sheet 3. Total Amounts '!B33/'Formula Calculations (LOCKED)'!B33</f>
        <v>#DIV/0!</v>
      </c>
      <c r="C33" s="52" t="e">
        <f>'Sheet 3. Total Amounts '!C33/'Formula Calculations (LOCKED)'!$B33</f>
        <v>#DIV/0!</v>
      </c>
      <c r="D33" s="52" t="e">
        <f>'Sheet 3. Total Amounts '!D33/'Formula Calculations (LOCKED)'!$B33</f>
        <v>#DIV/0!</v>
      </c>
      <c r="E33" s="52" t="e">
        <f>'Sheet 3. Total Amounts '!E33/'Formula Calculations (LOCKED)'!$B33</f>
        <v>#DIV/0!</v>
      </c>
      <c r="F33" s="52" t="e">
        <f>'Sheet 3. Total Amounts '!F33/'Formula Calculations (LOCKED)'!$B33</f>
        <v>#DIV/0!</v>
      </c>
      <c r="G33" s="52" t="e">
        <f>'Sheet 3. Total Amounts '!G33/'Formula Calculations (LOCKED)'!$B33</f>
        <v>#DIV/0!</v>
      </c>
      <c r="H33" s="52" t="e">
        <f>'Sheet 3. Total Amounts '!H33/'Formula Calculations (LOCKED)'!$B33</f>
        <v>#DIV/0!</v>
      </c>
      <c r="I33" s="52" t="e">
        <f>'Sheet 3. Total Amounts '!I33/'Formula Calculations (LOCKED)'!$B33</f>
        <v>#DIV/0!</v>
      </c>
      <c r="J33" s="52" t="e">
        <f>'Sheet 3. Total Amounts '!J33/'Formula Calculations (LOCKED)'!$B33</f>
        <v>#DIV/0!</v>
      </c>
      <c r="K33" s="52" t="e">
        <f>'Sheet 3. Total Amounts '!K33/'Formula Calculations (LOCKED)'!$B33</f>
        <v>#DIV/0!</v>
      </c>
      <c r="L33" s="29" t="e">
        <f>'Sheet 3. Total Amounts '!L33/'Formula Calculations (LOCKED)'!B33</f>
        <v>#DIV/0!</v>
      </c>
      <c r="M33" s="29" t="e">
        <f>'Sheet 3. Total Amounts '!M33/'Formula Calculations (LOCKED)'!B33</f>
        <v>#DIV/0!</v>
      </c>
      <c r="N33" s="51" t="e">
        <f>'Sheet 3. Total Amounts '!N33/'Formula Calculations (LOCKED)'!B33</f>
        <v>#DIV/0!</v>
      </c>
    </row>
    <row r="34" spans="1:14" x14ac:dyDescent="0.2">
      <c r="A34" s="7">
        <f>'Sheet 2. County Level Data'!A32</f>
        <v>0</v>
      </c>
      <c r="B34" s="29" t="e">
        <f>'Sheet 3. Total Amounts '!B34/'Formula Calculations (LOCKED)'!B34</f>
        <v>#DIV/0!</v>
      </c>
      <c r="C34" s="52" t="e">
        <f>'Sheet 3. Total Amounts '!C34/'Formula Calculations (LOCKED)'!$B34</f>
        <v>#DIV/0!</v>
      </c>
      <c r="D34" s="52" t="e">
        <f>'Sheet 3. Total Amounts '!D34/'Formula Calculations (LOCKED)'!$B34</f>
        <v>#DIV/0!</v>
      </c>
      <c r="E34" s="52" t="e">
        <f>'Sheet 3. Total Amounts '!E34/'Formula Calculations (LOCKED)'!$B34</f>
        <v>#DIV/0!</v>
      </c>
      <c r="F34" s="52" t="e">
        <f>'Sheet 3. Total Amounts '!F34/'Formula Calculations (LOCKED)'!$B34</f>
        <v>#DIV/0!</v>
      </c>
      <c r="G34" s="52" t="e">
        <f>'Sheet 3. Total Amounts '!G34/'Formula Calculations (LOCKED)'!$B34</f>
        <v>#DIV/0!</v>
      </c>
      <c r="H34" s="52" t="e">
        <f>'Sheet 3. Total Amounts '!H34/'Formula Calculations (LOCKED)'!$B34</f>
        <v>#DIV/0!</v>
      </c>
      <c r="I34" s="52" t="e">
        <f>'Sheet 3. Total Amounts '!I34/'Formula Calculations (LOCKED)'!$B34</f>
        <v>#DIV/0!</v>
      </c>
      <c r="J34" s="52" t="e">
        <f>'Sheet 3. Total Amounts '!J34/'Formula Calculations (LOCKED)'!$B34</f>
        <v>#DIV/0!</v>
      </c>
      <c r="K34" s="52" t="e">
        <f>'Sheet 3. Total Amounts '!K34/'Formula Calculations (LOCKED)'!$B34</f>
        <v>#DIV/0!</v>
      </c>
      <c r="L34" s="29" t="e">
        <f>'Sheet 3. Total Amounts '!L34/'Formula Calculations (LOCKED)'!B34</f>
        <v>#DIV/0!</v>
      </c>
      <c r="M34" s="29" t="e">
        <f>'Sheet 3. Total Amounts '!M34/'Formula Calculations (LOCKED)'!B34</f>
        <v>#DIV/0!</v>
      </c>
      <c r="N34" s="51" t="e">
        <f>'Sheet 3. Total Amounts '!N34/'Formula Calculations (LOCKED)'!B34</f>
        <v>#DIV/0!</v>
      </c>
    </row>
    <row r="35" spans="1:14" x14ac:dyDescent="0.2">
      <c r="A35" s="7">
        <f>'Sheet 2. County Level Data'!A33</f>
        <v>0</v>
      </c>
      <c r="B35" s="29" t="e">
        <f>'Sheet 3. Total Amounts '!B35/'Formula Calculations (LOCKED)'!B35</f>
        <v>#DIV/0!</v>
      </c>
      <c r="C35" s="52" t="e">
        <f>'Sheet 3. Total Amounts '!C35/'Formula Calculations (LOCKED)'!$B35</f>
        <v>#DIV/0!</v>
      </c>
      <c r="D35" s="52" t="e">
        <f>'Sheet 3. Total Amounts '!D35/'Formula Calculations (LOCKED)'!$B35</f>
        <v>#DIV/0!</v>
      </c>
      <c r="E35" s="52" t="e">
        <f>'Sheet 3. Total Amounts '!E35/'Formula Calculations (LOCKED)'!$B35</f>
        <v>#DIV/0!</v>
      </c>
      <c r="F35" s="52" t="e">
        <f>'Sheet 3. Total Amounts '!F35/'Formula Calculations (LOCKED)'!$B35</f>
        <v>#DIV/0!</v>
      </c>
      <c r="G35" s="52" t="e">
        <f>'Sheet 3. Total Amounts '!G35/'Formula Calculations (LOCKED)'!$B35</f>
        <v>#DIV/0!</v>
      </c>
      <c r="H35" s="52" t="e">
        <f>'Sheet 3. Total Amounts '!H35/'Formula Calculations (LOCKED)'!$B35</f>
        <v>#DIV/0!</v>
      </c>
      <c r="I35" s="52" t="e">
        <f>'Sheet 3. Total Amounts '!I35/'Formula Calculations (LOCKED)'!$B35</f>
        <v>#DIV/0!</v>
      </c>
      <c r="J35" s="52" t="e">
        <f>'Sheet 3. Total Amounts '!J35/'Formula Calculations (LOCKED)'!$B35</f>
        <v>#DIV/0!</v>
      </c>
      <c r="K35" s="52" t="e">
        <f>'Sheet 3. Total Amounts '!K35/'Formula Calculations (LOCKED)'!$B35</f>
        <v>#DIV/0!</v>
      </c>
      <c r="L35" s="29" t="e">
        <f>'Sheet 3. Total Amounts '!L35/'Formula Calculations (LOCKED)'!B35</f>
        <v>#DIV/0!</v>
      </c>
      <c r="M35" s="29" t="e">
        <f>'Sheet 3. Total Amounts '!M35/'Formula Calculations (LOCKED)'!B35</f>
        <v>#DIV/0!</v>
      </c>
      <c r="N35" s="51" t="e">
        <f>'Sheet 3. Total Amounts '!N35/'Formula Calculations (LOCKED)'!B35</f>
        <v>#DIV/0!</v>
      </c>
    </row>
    <row r="36" spans="1:14" x14ac:dyDescent="0.2">
      <c r="A36" s="7">
        <f>'Sheet 2. County Level Data'!A34</f>
        <v>0</v>
      </c>
      <c r="B36" s="29" t="e">
        <f>'Sheet 3. Total Amounts '!B36/'Formula Calculations (LOCKED)'!B36</f>
        <v>#DIV/0!</v>
      </c>
      <c r="C36" s="52" t="e">
        <f>'Sheet 3. Total Amounts '!C36/'Formula Calculations (LOCKED)'!$B36</f>
        <v>#DIV/0!</v>
      </c>
      <c r="D36" s="52" t="e">
        <f>'Sheet 3. Total Amounts '!D36/'Formula Calculations (LOCKED)'!$B36</f>
        <v>#DIV/0!</v>
      </c>
      <c r="E36" s="52" t="e">
        <f>'Sheet 3. Total Amounts '!E36/'Formula Calculations (LOCKED)'!$B36</f>
        <v>#DIV/0!</v>
      </c>
      <c r="F36" s="52" t="e">
        <f>'Sheet 3. Total Amounts '!F36/'Formula Calculations (LOCKED)'!$B36</f>
        <v>#DIV/0!</v>
      </c>
      <c r="G36" s="52" t="e">
        <f>'Sheet 3. Total Amounts '!G36/'Formula Calculations (LOCKED)'!$B36</f>
        <v>#DIV/0!</v>
      </c>
      <c r="H36" s="52" t="e">
        <f>'Sheet 3. Total Amounts '!H36/'Formula Calculations (LOCKED)'!$B36</f>
        <v>#DIV/0!</v>
      </c>
      <c r="I36" s="52" t="e">
        <f>'Sheet 3. Total Amounts '!I36/'Formula Calculations (LOCKED)'!$B36</f>
        <v>#DIV/0!</v>
      </c>
      <c r="J36" s="52" t="e">
        <f>'Sheet 3. Total Amounts '!J36/'Formula Calculations (LOCKED)'!$B36</f>
        <v>#DIV/0!</v>
      </c>
      <c r="K36" s="52" t="e">
        <f>'Sheet 3. Total Amounts '!K36/'Formula Calculations (LOCKED)'!$B36</f>
        <v>#DIV/0!</v>
      </c>
      <c r="L36" s="29" t="e">
        <f>'Sheet 3. Total Amounts '!L36/'Formula Calculations (LOCKED)'!B36</f>
        <v>#DIV/0!</v>
      </c>
      <c r="M36" s="29" t="e">
        <f>'Sheet 3. Total Amounts '!M36/'Formula Calculations (LOCKED)'!B36</f>
        <v>#DIV/0!</v>
      </c>
      <c r="N36" s="51" t="e">
        <f>'Sheet 3. Total Amounts '!N36/'Formula Calculations (LOCKED)'!B36</f>
        <v>#DIV/0!</v>
      </c>
    </row>
    <row r="37" spans="1:14" x14ac:dyDescent="0.2">
      <c r="A37" s="7">
        <f>'Sheet 2. County Level Data'!A35</f>
        <v>0</v>
      </c>
      <c r="B37" s="29" t="e">
        <f>'Sheet 3. Total Amounts '!B37/'Formula Calculations (LOCKED)'!B37</f>
        <v>#DIV/0!</v>
      </c>
      <c r="C37" s="52" t="e">
        <f>'Sheet 3. Total Amounts '!C37/'Formula Calculations (LOCKED)'!$B37</f>
        <v>#DIV/0!</v>
      </c>
      <c r="D37" s="52" t="e">
        <f>'Sheet 3. Total Amounts '!D37/'Formula Calculations (LOCKED)'!$B37</f>
        <v>#DIV/0!</v>
      </c>
      <c r="E37" s="52" t="e">
        <f>'Sheet 3. Total Amounts '!E37/'Formula Calculations (LOCKED)'!$B37</f>
        <v>#DIV/0!</v>
      </c>
      <c r="F37" s="52" t="e">
        <f>'Sheet 3. Total Amounts '!F37/'Formula Calculations (LOCKED)'!$B37</f>
        <v>#DIV/0!</v>
      </c>
      <c r="G37" s="52" t="e">
        <f>'Sheet 3. Total Amounts '!G37/'Formula Calculations (LOCKED)'!$B37</f>
        <v>#DIV/0!</v>
      </c>
      <c r="H37" s="52" t="e">
        <f>'Sheet 3. Total Amounts '!H37/'Formula Calculations (LOCKED)'!$B37</f>
        <v>#DIV/0!</v>
      </c>
      <c r="I37" s="52" t="e">
        <f>'Sheet 3. Total Amounts '!I37/'Formula Calculations (LOCKED)'!$B37</f>
        <v>#DIV/0!</v>
      </c>
      <c r="J37" s="52" t="e">
        <f>'Sheet 3. Total Amounts '!J37/'Formula Calculations (LOCKED)'!$B37</f>
        <v>#DIV/0!</v>
      </c>
      <c r="K37" s="52" t="e">
        <f>'Sheet 3. Total Amounts '!K37/'Formula Calculations (LOCKED)'!$B37</f>
        <v>#DIV/0!</v>
      </c>
      <c r="L37" s="29" t="e">
        <f>'Sheet 3. Total Amounts '!L37/'Formula Calculations (LOCKED)'!B37</f>
        <v>#DIV/0!</v>
      </c>
      <c r="M37" s="29" t="e">
        <f>'Sheet 3. Total Amounts '!M37/'Formula Calculations (LOCKED)'!B37</f>
        <v>#DIV/0!</v>
      </c>
      <c r="N37" s="51" t="e">
        <f>'Sheet 3. Total Amounts '!N37/'Formula Calculations (LOCKED)'!B37</f>
        <v>#DIV/0!</v>
      </c>
    </row>
    <row r="38" spans="1:14" x14ac:dyDescent="0.2">
      <c r="A38" s="7">
        <f>'Sheet 2. County Level Data'!A36</f>
        <v>0</v>
      </c>
      <c r="B38" s="29" t="e">
        <f>'Sheet 3. Total Amounts '!B38/'Formula Calculations (LOCKED)'!B38</f>
        <v>#DIV/0!</v>
      </c>
      <c r="C38" s="52" t="e">
        <f>'Sheet 3. Total Amounts '!C38/'Formula Calculations (LOCKED)'!$B38</f>
        <v>#DIV/0!</v>
      </c>
      <c r="D38" s="52" t="e">
        <f>'Sheet 3. Total Amounts '!D38/'Formula Calculations (LOCKED)'!$B38</f>
        <v>#DIV/0!</v>
      </c>
      <c r="E38" s="52" t="e">
        <f>'Sheet 3. Total Amounts '!E38/'Formula Calculations (LOCKED)'!$B38</f>
        <v>#DIV/0!</v>
      </c>
      <c r="F38" s="52" t="e">
        <f>'Sheet 3. Total Amounts '!F38/'Formula Calculations (LOCKED)'!$B38</f>
        <v>#DIV/0!</v>
      </c>
      <c r="G38" s="52" t="e">
        <f>'Sheet 3. Total Amounts '!G38/'Formula Calculations (LOCKED)'!$B38</f>
        <v>#DIV/0!</v>
      </c>
      <c r="H38" s="52" t="e">
        <f>'Sheet 3. Total Amounts '!H38/'Formula Calculations (LOCKED)'!$B38</f>
        <v>#DIV/0!</v>
      </c>
      <c r="I38" s="52" t="e">
        <f>'Sheet 3. Total Amounts '!I38/'Formula Calculations (LOCKED)'!$B38</f>
        <v>#DIV/0!</v>
      </c>
      <c r="J38" s="52" t="e">
        <f>'Sheet 3. Total Amounts '!J38/'Formula Calculations (LOCKED)'!$B38</f>
        <v>#DIV/0!</v>
      </c>
      <c r="K38" s="52" t="e">
        <f>'Sheet 3. Total Amounts '!K38/'Formula Calculations (LOCKED)'!$B38</f>
        <v>#DIV/0!</v>
      </c>
      <c r="L38" s="29" t="e">
        <f>'Sheet 3. Total Amounts '!L38/'Formula Calculations (LOCKED)'!B38</f>
        <v>#DIV/0!</v>
      </c>
      <c r="M38" s="29" t="e">
        <f>'Sheet 3. Total Amounts '!M38/'Formula Calculations (LOCKED)'!B38</f>
        <v>#DIV/0!</v>
      </c>
      <c r="N38" s="51" t="e">
        <f>'Sheet 3. Total Amounts '!N38/'Formula Calculations (LOCKED)'!B38</f>
        <v>#DIV/0!</v>
      </c>
    </row>
    <row r="39" spans="1:14" x14ac:dyDescent="0.2">
      <c r="A39" s="7">
        <f>'Sheet 2. County Level Data'!A37</f>
        <v>0</v>
      </c>
      <c r="B39" s="29" t="e">
        <f>'Sheet 3. Total Amounts '!B39/'Formula Calculations (LOCKED)'!B39</f>
        <v>#DIV/0!</v>
      </c>
      <c r="C39" s="52" t="e">
        <f>'Sheet 3. Total Amounts '!C39/'Formula Calculations (LOCKED)'!$B39</f>
        <v>#DIV/0!</v>
      </c>
      <c r="D39" s="52" t="e">
        <f>'Sheet 3. Total Amounts '!D39/'Formula Calculations (LOCKED)'!$B39</f>
        <v>#DIV/0!</v>
      </c>
      <c r="E39" s="52" t="e">
        <f>'Sheet 3. Total Amounts '!E39/'Formula Calculations (LOCKED)'!$B39</f>
        <v>#DIV/0!</v>
      </c>
      <c r="F39" s="52" t="e">
        <f>'Sheet 3. Total Amounts '!F39/'Formula Calculations (LOCKED)'!$B39</f>
        <v>#DIV/0!</v>
      </c>
      <c r="G39" s="52" t="e">
        <f>'Sheet 3. Total Amounts '!G39/'Formula Calculations (LOCKED)'!$B39</f>
        <v>#DIV/0!</v>
      </c>
      <c r="H39" s="52" t="e">
        <f>'Sheet 3. Total Amounts '!H39/'Formula Calculations (LOCKED)'!$B39</f>
        <v>#DIV/0!</v>
      </c>
      <c r="I39" s="52" t="e">
        <f>'Sheet 3. Total Amounts '!I39/'Formula Calculations (LOCKED)'!$B39</f>
        <v>#DIV/0!</v>
      </c>
      <c r="J39" s="52" t="e">
        <f>'Sheet 3. Total Amounts '!J39/'Formula Calculations (LOCKED)'!$B39</f>
        <v>#DIV/0!</v>
      </c>
      <c r="K39" s="52" t="e">
        <f>'Sheet 3. Total Amounts '!K39/'Formula Calculations (LOCKED)'!$B39</f>
        <v>#DIV/0!</v>
      </c>
      <c r="L39" s="29" t="e">
        <f>'Sheet 3. Total Amounts '!L39/'Formula Calculations (LOCKED)'!B39</f>
        <v>#DIV/0!</v>
      </c>
      <c r="M39" s="29" t="e">
        <f>'Sheet 3. Total Amounts '!M39/'Formula Calculations (LOCKED)'!B39</f>
        <v>#DIV/0!</v>
      </c>
      <c r="N39" s="51" t="e">
        <f>'Sheet 3. Total Amounts '!N39/'Formula Calculations (LOCKED)'!B39</f>
        <v>#DIV/0!</v>
      </c>
    </row>
    <row r="40" spans="1:14" x14ac:dyDescent="0.2">
      <c r="A40" s="7">
        <f>'Sheet 2. County Level Data'!A38</f>
        <v>0</v>
      </c>
      <c r="B40" s="29" t="e">
        <f>'Sheet 3. Total Amounts '!B40/'Formula Calculations (LOCKED)'!B40</f>
        <v>#DIV/0!</v>
      </c>
      <c r="C40" s="52" t="e">
        <f>'Sheet 3. Total Amounts '!C40/'Formula Calculations (LOCKED)'!$B40</f>
        <v>#DIV/0!</v>
      </c>
      <c r="D40" s="52" t="e">
        <f>'Sheet 3. Total Amounts '!D40/'Formula Calculations (LOCKED)'!$B40</f>
        <v>#DIV/0!</v>
      </c>
      <c r="E40" s="52" t="e">
        <f>'Sheet 3. Total Amounts '!E40/'Formula Calculations (LOCKED)'!$B40</f>
        <v>#DIV/0!</v>
      </c>
      <c r="F40" s="52" t="e">
        <f>'Sheet 3. Total Amounts '!F40/'Formula Calculations (LOCKED)'!$B40</f>
        <v>#DIV/0!</v>
      </c>
      <c r="G40" s="52" t="e">
        <f>'Sheet 3. Total Amounts '!G40/'Formula Calculations (LOCKED)'!$B40</f>
        <v>#DIV/0!</v>
      </c>
      <c r="H40" s="52" t="e">
        <f>'Sheet 3. Total Amounts '!H40/'Formula Calculations (LOCKED)'!$B40</f>
        <v>#DIV/0!</v>
      </c>
      <c r="I40" s="52" t="e">
        <f>'Sheet 3. Total Amounts '!I40/'Formula Calculations (LOCKED)'!$B40</f>
        <v>#DIV/0!</v>
      </c>
      <c r="J40" s="52" t="e">
        <f>'Sheet 3. Total Amounts '!J40/'Formula Calculations (LOCKED)'!$B40</f>
        <v>#DIV/0!</v>
      </c>
      <c r="K40" s="52" t="e">
        <f>'Sheet 3. Total Amounts '!K40/'Formula Calculations (LOCKED)'!$B40</f>
        <v>#DIV/0!</v>
      </c>
      <c r="L40" s="29" t="e">
        <f>'Sheet 3. Total Amounts '!L40/'Formula Calculations (LOCKED)'!B40</f>
        <v>#DIV/0!</v>
      </c>
      <c r="M40" s="29" t="e">
        <f>'Sheet 3. Total Amounts '!M40/'Formula Calculations (LOCKED)'!B40</f>
        <v>#DIV/0!</v>
      </c>
      <c r="N40" s="51" t="e">
        <f>'Sheet 3. Total Amounts '!N40/'Formula Calculations (LOCKED)'!B40</f>
        <v>#DIV/0!</v>
      </c>
    </row>
    <row r="41" spans="1:14" x14ac:dyDescent="0.2">
      <c r="A41" s="7">
        <f>'Sheet 2. County Level Data'!A39</f>
        <v>0</v>
      </c>
      <c r="B41" s="29" t="e">
        <f>'Sheet 3. Total Amounts '!B41/'Formula Calculations (LOCKED)'!B41</f>
        <v>#DIV/0!</v>
      </c>
      <c r="C41" s="52" t="e">
        <f>'Sheet 3. Total Amounts '!C41/'Formula Calculations (LOCKED)'!$B41</f>
        <v>#DIV/0!</v>
      </c>
      <c r="D41" s="52" t="e">
        <f>'Sheet 3. Total Amounts '!D41/'Formula Calculations (LOCKED)'!$B41</f>
        <v>#DIV/0!</v>
      </c>
      <c r="E41" s="52" t="e">
        <f>'Sheet 3. Total Amounts '!E41/'Formula Calculations (LOCKED)'!$B41</f>
        <v>#DIV/0!</v>
      </c>
      <c r="F41" s="52" t="e">
        <f>'Sheet 3. Total Amounts '!F41/'Formula Calculations (LOCKED)'!$B41</f>
        <v>#DIV/0!</v>
      </c>
      <c r="G41" s="52" t="e">
        <f>'Sheet 3. Total Amounts '!G41/'Formula Calculations (LOCKED)'!$B41</f>
        <v>#DIV/0!</v>
      </c>
      <c r="H41" s="52" t="e">
        <f>'Sheet 3. Total Amounts '!H41/'Formula Calculations (LOCKED)'!$B41</f>
        <v>#DIV/0!</v>
      </c>
      <c r="I41" s="52" t="e">
        <f>'Sheet 3. Total Amounts '!I41/'Formula Calculations (LOCKED)'!$B41</f>
        <v>#DIV/0!</v>
      </c>
      <c r="J41" s="52" t="e">
        <f>'Sheet 3. Total Amounts '!J41/'Formula Calculations (LOCKED)'!$B41</f>
        <v>#DIV/0!</v>
      </c>
      <c r="K41" s="52" t="e">
        <f>'Sheet 3. Total Amounts '!K41/'Formula Calculations (LOCKED)'!$B41</f>
        <v>#DIV/0!</v>
      </c>
      <c r="L41" s="29" t="e">
        <f>'Sheet 3. Total Amounts '!L41/'Formula Calculations (LOCKED)'!B41</f>
        <v>#DIV/0!</v>
      </c>
      <c r="M41" s="29" t="e">
        <f>'Sheet 3. Total Amounts '!M41/'Formula Calculations (LOCKED)'!B41</f>
        <v>#DIV/0!</v>
      </c>
      <c r="N41" s="51" t="e">
        <f>'Sheet 3. Total Amounts '!N41/'Formula Calculations (LOCKED)'!B41</f>
        <v>#DIV/0!</v>
      </c>
    </row>
    <row r="42" spans="1:14" x14ac:dyDescent="0.2">
      <c r="A42" s="7">
        <f>'Sheet 2. County Level Data'!A40</f>
        <v>0</v>
      </c>
      <c r="B42" s="29" t="e">
        <f>'Sheet 3. Total Amounts '!B42/'Formula Calculations (LOCKED)'!B42</f>
        <v>#DIV/0!</v>
      </c>
      <c r="C42" s="52" t="e">
        <f>'Sheet 3. Total Amounts '!C42/'Formula Calculations (LOCKED)'!$B42</f>
        <v>#DIV/0!</v>
      </c>
      <c r="D42" s="52" t="e">
        <f>'Sheet 3. Total Amounts '!D42/'Formula Calculations (LOCKED)'!$B42</f>
        <v>#DIV/0!</v>
      </c>
      <c r="E42" s="52" t="e">
        <f>'Sheet 3. Total Amounts '!E42/'Formula Calculations (LOCKED)'!$B42</f>
        <v>#DIV/0!</v>
      </c>
      <c r="F42" s="52" t="e">
        <f>'Sheet 3. Total Amounts '!F42/'Formula Calculations (LOCKED)'!$B42</f>
        <v>#DIV/0!</v>
      </c>
      <c r="G42" s="52" t="e">
        <f>'Sheet 3. Total Amounts '!G42/'Formula Calculations (LOCKED)'!$B42</f>
        <v>#DIV/0!</v>
      </c>
      <c r="H42" s="52" t="e">
        <f>'Sheet 3. Total Amounts '!H42/'Formula Calculations (LOCKED)'!$B42</f>
        <v>#DIV/0!</v>
      </c>
      <c r="I42" s="52" t="e">
        <f>'Sheet 3. Total Amounts '!I42/'Formula Calculations (LOCKED)'!$B42</f>
        <v>#DIV/0!</v>
      </c>
      <c r="J42" s="52" t="e">
        <f>'Sheet 3. Total Amounts '!J42/'Formula Calculations (LOCKED)'!$B42</f>
        <v>#DIV/0!</v>
      </c>
      <c r="K42" s="52" t="e">
        <f>'Sheet 3. Total Amounts '!K42/'Formula Calculations (LOCKED)'!$B42</f>
        <v>#DIV/0!</v>
      </c>
      <c r="L42" s="29" t="e">
        <f>'Sheet 3. Total Amounts '!L42/'Formula Calculations (LOCKED)'!B42</f>
        <v>#DIV/0!</v>
      </c>
      <c r="M42" s="29" t="e">
        <f>'Sheet 3. Total Amounts '!M42/'Formula Calculations (LOCKED)'!B42</f>
        <v>#DIV/0!</v>
      </c>
      <c r="N42" s="51" t="e">
        <f>'Sheet 3. Total Amounts '!N42/'Formula Calculations (LOCKED)'!B42</f>
        <v>#DIV/0!</v>
      </c>
    </row>
    <row r="43" spans="1:14" x14ac:dyDescent="0.2">
      <c r="A43" s="7">
        <f>'Sheet 2. County Level Data'!A41</f>
        <v>0</v>
      </c>
      <c r="B43" s="29" t="e">
        <f>'Sheet 3. Total Amounts '!B43/'Formula Calculations (LOCKED)'!B43</f>
        <v>#DIV/0!</v>
      </c>
      <c r="C43" s="52" t="e">
        <f>'Sheet 3. Total Amounts '!C43/'Formula Calculations (LOCKED)'!$B43</f>
        <v>#DIV/0!</v>
      </c>
      <c r="D43" s="52" t="e">
        <f>'Sheet 3. Total Amounts '!D43/'Formula Calculations (LOCKED)'!$B43</f>
        <v>#DIV/0!</v>
      </c>
      <c r="E43" s="52" t="e">
        <f>'Sheet 3. Total Amounts '!E43/'Formula Calculations (LOCKED)'!$B43</f>
        <v>#DIV/0!</v>
      </c>
      <c r="F43" s="52" t="e">
        <f>'Sheet 3. Total Amounts '!F43/'Formula Calculations (LOCKED)'!$B43</f>
        <v>#DIV/0!</v>
      </c>
      <c r="G43" s="52" t="e">
        <f>'Sheet 3. Total Amounts '!G43/'Formula Calculations (LOCKED)'!$B43</f>
        <v>#DIV/0!</v>
      </c>
      <c r="H43" s="52" t="e">
        <f>'Sheet 3. Total Amounts '!H43/'Formula Calculations (LOCKED)'!$B43</f>
        <v>#DIV/0!</v>
      </c>
      <c r="I43" s="52" t="e">
        <f>'Sheet 3. Total Amounts '!I43/'Formula Calculations (LOCKED)'!$B43</f>
        <v>#DIV/0!</v>
      </c>
      <c r="J43" s="52" t="e">
        <f>'Sheet 3. Total Amounts '!J43/'Formula Calculations (LOCKED)'!$B43</f>
        <v>#DIV/0!</v>
      </c>
      <c r="K43" s="52" t="e">
        <f>'Sheet 3. Total Amounts '!K43/'Formula Calculations (LOCKED)'!$B43</f>
        <v>#DIV/0!</v>
      </c>
      <c r="L43" s="29" t="e">
        <f>'Sheet 3. Total Amounts '!L43/'Formula Calculations (LOCKED)'!B43</f>
        <v>#DIV/0!</v>
      </c>
      <c r="M43" s="29" t="e">
        <f>'Sheet 3. Total Amounts '!M43/'Formula Calculations (LOCKED)'!B43</f>
        <v>#DIV/0!</v>
      </c>
      <c r="N43" s="51" t="e">
        <f>'Sheet 3. Total Amounts '!N43/'Formula Calculations (LOCKED)'!B43</f>
        <v>#DIV/0!</v>
      </c>
    </row>
    <row r="44" spans="1:14" x14ac:dyDescent="0.2">
      <c r="A44" s="7">
        <f>'Sheet 2. County Level Data'!A42</f>
        <v>0</v>
      </c>
      <c r="B44" s="29" t="e">
        <f>'Sheet 3. Total Amounts '!B44/'Formula Calculations (LOCKED)'!B44</f>
        <v>#DIV/0!</v>
      </c>
      <c r="C44" s="52" t="e">
        <f>'Sheet 3. Total Amounts '!C44/'Formula Calculations (LOCKED)'!$B44</f>
        <v>#DIV/0!</v>
      </c>
      <c r="D44" s="52" t="e">
        <f>'Sheet 3. Total Amounts '!D44/'Formula Calculations (LOCKED)'!$B44</f>
        <v>#DIV/0!</v>
      </c>
      <c r="E44" s="52" t="e">
        <f>'Sheet 3. Total Amounts '!E44/'Formula Calculations (LOCKED)'!$B44</f>
        <v>#DIV/0!</v>
      </c>
      <c r="F44" s="52" t="e">
        <f>'Sheet 3. Total Amounts '!F44/'Formula Calculations (LOCKED)'!$B44</f>
        <v>#DIV/0!</v>
      </c>
      <c r="G44" s="52" t="e">
        <f>'Sheet 3. Total Amounts '!G44/'Formula Calculations (LOCKED)'!$B44</f>
        <v>#DIV/0!</v>
      </c>
      <c r="H44" s="52" t="e">
        <f>'Sheet 3. Total Amounts '!H44/'Formula Calculations (LOCKED)'!$B44</f>
        <v>#DIV/0!</v>
      </c>
      <c r="I44" s="52" t="e">
        <f>'Sheet 3. Total Amounts '!I44/'Formula Calculations (LOCKED)'!$B44</f>
        <v>#DIV/0!</v>
      </c>
      <c r="J44" s="52" t="e">
        <f>'Sheet 3. Total Amounts '!J44/'Formula Calculations (LOCKED)'!$B44</f>
        <v>#DIV/0!</v>
      </c>
      <c r="K44" s="52" t="e">
        <f>'Sheet 3. Total Amounts '!K44/'Formula Calculations (LOCKED)'!$B44</f>
        <v>#DIV/0!</v>
      </c>
      <c r="L44" s="29" t="e">
        <f>'Sheet 3. Total Amounts '!L44/'Formula Calculations (LOCKED)'!B44</f>
        <v>#DIV/0!</v>
      </c>
      <c r="M44" s="29" t="e">
        <f>'Sheet 3. Total Amounts '!M44/'Formula Calculations (LOCKED)'!B44</f>
        <v>#DIV/0!</v>
      </c>
      <c r="N44" s="51" t="e">
        <f>'Sheet 3. Total Amounts '!N44/'Formula Calculations (LOCKED)'!B44</f>
        <v>#DIV/0!</v>
      </c>
    </row>
    <row r="45" spans="1:14" x14ac:dyDescent="0.2">
      <c r="A45" s="7">
        <f>'Sheet 2. County Level Data'!A43</f>
        <v>0</v>
      </c>
      <c r="B45" s="29" t="e">
        <f>'Sheet 3. Total Amounts '!B45/'Formula Calculations (LOCKED)'!B45</f>
        <v>#DIV/0!</v>
      </c>
      <c r="C45" s="52" t="e">
        <f>'Sheet 3. Total Amounts '!C45/'Formula Calculations (LOCKED)'!$B45</f>
        <v>#DIV/0!</v>
      </c>
      <c r="D45" s="52" t="e">
        <f>'Sheet 3. Total Amounts '!D45/'Formula Calculations (LOCKED)'!$B45</f>
        <v>#DIV/0!</v>
      </c>
      <c r="E45" s="52" t="e">
        <f>'Sheet 3. Total Amounts '!E45/'Formula Calculations (LOCKED)'!$B45</f>
        <v>#DIV/0!</v>
      </c>
      <c r="F45" s="52" t="e">
        <f>'Sheet 3. Total Amounts '!F45/'Formula Calculations (LOCKED)'!$B45</f>
        <v>#DIV/0!</v>
      </c>
      <c r="G45" s="52" t="e">
        <f>'Sheet 3. Total Amounts '!G45/'Formula Calculations (LOCKED)'!$B45</f>
        <v>#DIV/0!</v>
      </c>
      <c r="H45" s="52" t="e">
        <f>'Sheet 3. Total Amounts '!H45/'Formula Calculations (LOCKED)'!$B45</f>
        <v>#DIV/0!</v>
      </c>
      <c r="I45" s="52" t="e">
        <f>'Sheet 3. Total Amounts '!I45/'Formula Calculations (LOCKED)'!$B45</f>
        <v>#DIV/0!</v>
      </c>
      <c r="J45" s="52" t="e">
        <f>'Sheet 3. Total Amounts '!J45/'Formula Calculations (LOCKED)'!$B45</f>
        <v>#DIV/0!</v>
      </c>
      <c r="K45" s="52" t="e">
        <f>'Sheet 3. Total Amounts '!K45/'Formula Calculations (LOCKED)'!$B45</f>
        <v>#DIV/0!</v>
      </c>
      <c r="L45" s="29" t="e">
        <f>'Sheet 3. Total Amounts '!L45/'Formula Calculations (LOCKED)'!B45</f>
        <v>#DIV/0!</v>
      </c>
      <c r="M45" s="29" t="e">
        <f>'Sheet 3. Total Amounts '!M45/'Formula Calculations (LOCKED)'!B45</f>
        <v>#DIV/0!</v>
      </c>
      <c r="N45" s="51" t="e">
        <f>'Sheet 3. Total Amounts '!N45/'Formula Calculations (LOCKED)'!B45</f>
        <v>#DIV/0!</v>
      </c>
    </row>
    <row r="46" spans="1:14" x14ac:dyDescent="0.2">
      <c r="A46" s="7">
        <f>'Sheet 2. County Level Data'!A44</f>
        <v>0</v>
      </c>
      <c r="B46" s="29" t="e">
        <f>'Sheet 3. Total Amounts '!B46/'Formula Calculations (LOCKED)'!B46</f>
        <v>#DIV/0!</v>
      </c>
      <c r="C46" s="52" t="e">
        <f>'Sheet 3. Total Amounts '!C46/'Formula Calculations (LOCKED)'!$B46</f>
        <v>#DIV/0!</v>
      </c>
      <c r="D46" s="52" t="e">
        <f>'Sheet 3. Total Amounts '!D46/'Formula Calculations (LOCKED)'!$B46</f>
        <v>#DIV/0!</v>
      </c>
      <c r="E46" s="52" t="e">
        <f>'Sheet 3. Total Amounts '!E46/'Formula Calculations (LOCKED)'!$B46</f>
        <v>#DIV/0!</v>
      </c>
      <c r="F46" s="52" t="e">
        <f>'Sheet 3. Total Amounts '!F46/'Formula Calculations (LOCKED)'!$B46</f>
        <v>#DIV/0!</v>
      </c>
      <c r="G46" s="52" t="e">
        <f>'Sheet 3. Total Amounts '!G46/'Formula Calculations (LOCKED)'!$B46</f>
        <v>#DIV/0!</v>
      </c>
      <c r="H46" s="52" t="e">
        <f>'Sheet 3. Total Amounts '!H46/'Formula Calculations (LOCKED)'!$B46</f>
        <v>#DIV/0!</v>
      </c>
      <c r="I46" s="52" t="e">
        <f>'Sheet 3. Total Amounts '!I46/'Formula Calculations (LOCKED)'!$B46</f>
        <v>#DIV/0!</v>
      </c>
      <c r="J46" s="52" t="e">
        <f>'Sheet 3. Total Amounts '!J46/'Formula Calculations (LOCKED)'!$B46</f>
        <v>#DIV/0!</v>
      </c>
      <c r="K46" s="52" t="e">
        <f>'Sheet 3. Total Amounts '!K46/'Formula Calculations (LOCKED)'!$B46</f>
        <v>#DIV/0!</v>
      </c>
      <c r="L46" s="29" t="e">
        <f>'Sheet 3. Total Amounts '!L46/'Formula Calculations (LOCKED)'!B46</f>
        <v>#DIV/0!</v>
      </c>
      <c r="M46" s="29" t="e">
        <f>'Sheet 3. Total Amounts '!M46/'Formula Calculations (LOCKED)'!B46</f>
        <v>#DIV/0!</v>
      </c>
      <c r="N46" s="51" t="e">
        <f>'Sheet 3. Total Amounts '!N46/'Formula Calculations (LOCKED)'!B46</f>
        <v>#DIV/0!</v>
      </c>
    </row>
    <row r="47" spans="1:14" x14ac:dyDescent="0.2">
      <c r="A47" s="7">
        <f>'Sheet 2. County Level Data'!A45</f>
        <v>0</v>
      </c>
      <c r="B47" s="29" t="e">
        <f>'Sheet 3. Total Amounts '!B47/'Formula Calculations (LOCKED)'!B47</f>
        <v>#DIV/0!</v>
      </c>
      <c r="C47" s="52" t="e">
        <f>'Sheet 3. Total Amounts '!C47/'Formula Calculations (LOCKED)'!$B47</f>
        <v>#DIV/0!</v>
      </c>
      <c r="D47" s="52" t="e">
        <f>'Sheet 3. Total Amounts '!D47/'Formula Calculations (LOCKED)'!$B47</f>
        <v>#DIV/0!</v>
      </c>
      <c r="E47" s="52" t="e">
        <f>'Sheet 3. Total Amounts '!E47/'Formula Calculations (LOCKED)'!$B47</f>
        <v>#DIV/0!</v>
      </c>
      <c r="F47" s="52" t="e">
        <f>'Sheet 3. Total Amounts '!F47/'Formula Calculations (LOCKED)'!$B47</f>
        <v>#DIV/0!</v>
      </c>
      <c r="G47" s="52" t="e">
        <f>'Sheet 3. Total Amounts '!G47/'Formula Calculations (LOCKED)'!$B47</f>
        <v>#DIV/0!</v>
      </c>
      <c r="H47" s="52" t="e">
        <f>'Sheet 3. Total Amounts '!H47/'Formula Calculations (LOCKED)'!$B47</f>
        <v>#DIV/0!</v>
      </c>
      <c r="I47" s="52" t="e">
        <f>'Sheet 3. Total Amounts '!I47/'Formula Calculations (LOCKED)'!$B47</f>
        <v>#DIV/0!</v>
      </c>
      <c r="J47" s="52" t="e">
        <f>'Sheet 3. Total Amounts '!J47/'Formula Calculations (LOCKED)'!$B47</f>
        <v>#DIV/0!</v>
      </c>
      <c r="K47" s="52" t="e">
        <f>'Sheet 3. Total Amounts '!K47/'Formula Calculations (LOCKED)'!$B47</f>
        <v>#DIV/0!</v>
      </c>
      <c r="L47" s="29" t="e">
        <f>'Sheet 3. Total Amounts '!L47/'Formula Calculations (LOCKED)'!B47</f>
        <v>#DIV/0!</v>
      </c>
      <c r="M47" s="29" t="e">
        <f>'Sheet 3. Total Amounts '!M47/'Formula Calculations (LOCKED)'!B47</f>
        <v>#DIV/0!</v>
      </c>
      <c r="N47" s="51" t="e">
        <f>'Sheet 3. Total Amounts '!N47/'Formula Calculations (LOCKED)'!B47</f>
        <v>#DIV/0!</v>
      </c>
    </row>
    <row r="48" spans="1:14" x14ac:dyDescent="0.2">
      <c r="A48" s="7">
        <f>'Sheet 2. County Level Data'!A46</f>
        <v>0</v>
      </c>
      <c r="B48" s="29" t="e">
        <f>'Sheet 3. Total Amounts '!B48/'Formula Calculations (LOCKED)'!B48</f>
        <v>#DIV/0!</v>
      </c>
      <c r="C48" s="52" t="e">
        <f>'Sheet 3. Total Amounts '!C48/'Formula Calculations (LOCKED)'!$B48</f>
        <v>#DIV/0!</v>
      </c>
      <c r="D48" s="52" t="e">
        <f>'Sheet 3. Total Amounts '!D48/'Formula Calculations (LOCKED)'!$B48</f>
        <v>#DIV/0!</v>
      </c>
      <c r="E48" s="52" t="e">
        <f>'Sheet 3. Total Amounts '!E48/'Formula Calculations (LOCKED)'!$B48</f>
        <v>#DIV/0!</v>
      </c>
      <c r="F48" s="52" t="e">
        <f>'Sheet 3. Total Amounts '!F48/'Formula Calculations (LOCKED)'!$B48</f>
        <v>#DIV/0!</v>
      </c>
      <c r="G48" s="52" t="e">
        <f>'Sheet 3. Total Amounts '!G48/'Formula Calculations (LOCKED)'!$B48</f>
        <v>#DIV/0!</v>
      </c>
      <c r="H48" s="52" t="e">
        <f>'Sheet 3. Total Amounts '!H48/'Formula Calculations (LOCKED)'!$B48</f>
        <v>#DIV/0!</v>
      </c>
      <c r="I48" s="52" t="e">
        <f>'Sheet 3. Total Amounts '!I48/'Formula Calculations (LOCKED)'!$B48</f>
        <v>#DIV/0!</v>
      </c>
      <c r="J48" s="52" t="e">
        <f>'Sheet 3. Total Amounts '!J48/'Formula Calculations (LOCKED)'!$B48</f>
        <v>#DIV/0!</v>
      </c>
      <c r="K48" s="52" t="e">
        <f>'Sheet 3. Total Amounts '!K48/'Formula Calculations (LOCKED)'!$B48</f>
        <v>#DIV/0!</v>
      </c>
      <c r="L48" s="29" t="e">
        <f>'Sheet 3. Total Amounts '!L48/'Formula Calculations (LOCKED)'!B48</f>
        <v>#DIV/0!</v>
      </c>
      <c r="M48" s="29" t="e">
        <f>'Sheet 3. Total Amounts '!M48/'Formula Calculations (LOCKED)'!B48</f>
        <v>#DIV/0!</v>
      </c>
      <c r="N48" s="51" t="e">
        <f>'Sheet 3. Total Amounts '!N48/'Formula Calculations (LOCKED)'!B48</f>
        <v>#DIV/0!</v>
      </c>
    </row>
    <row r="49" spans="1:14" x14ac:dyDescent="0.2">
      <c r="A49" s="7">
        <f>'Sheet 2. County Level Data'!A47</f>
        <v>0</v>
      </c>
      <c r="B49" s="29" t="e">
        <f>'Sheet 3. Total Amounts '!B49/'Formula Calculations (LOCKED)'!B49</f>
        <v>#DIV/0!</v>
      </c>
      <c r="C49" s="52" t="e">
        <f>'Sheet 3. Total Amounts '!C49/'Formula Calculations (LOCKED)'!$B49</f>
        <v>#DIV/0!</v>
      </c>
      <c r="D49" s="52" t="e">
        <f>'Sheet 3. Total Amounts '!D49/'Formula Calculations (LOCKED)'!$B49</f>
        <v>#DIV/0!</v>
      </c>
      <c r="E49" s="52" t="e">
        <f>'Sheet 3. Total Amounts '!E49/'Formula Calculations (LOCKED)'!$B49</f>
        <v>#DIV/0!</v>
      </c>
      <c r="F49" s="52" t="e">
        <f>'Sheet 3. Total Amounts '!F49/'Formula Calculations (LOCKED)'!$B49</f>
        <v>#DIV/0!</v>
      </c>
      <c r="G49" s="52" t="e">
        <f>'Sheet 3. Total Amounts '!G49/'Formula Calculations (LOCKED)'!$B49</f>
        <v>#DIV/0!</v>
      </c>
      <c r="H49" s="52" t="e">
        <f>'Sheet 3. Total Amounts '!H49/'Formula Calculations (LOCKED)'!$B49</f>
        <v>#DIV/0!</v>
      </c>
      <c r="I49" s="52" t="e">
        <f>'Sheet 3. Total Amounts '!I49/'Formula Calculations (LOCKED)'!$B49</f>
        <v>#DIV/0!</v>
      </c>
      <c r="J49" s="52" t="e">
        <f>'Sheet 3. Total Amounts '!J49/'Formula Calculations (LOCKED)'!$B49</f>
        <v>#DIV/0!</v>
      </c>
      <c r="K49" s="52" t="e">
        <f>'Sheet 3. Total Amounts '!K49/'Formula Calculations (LOCKED)'!$B49</f>
        <v>#DIV/0!</v>
      </c>
      <c r="L49" s="29" t="e">
        <f>'Sheet 3. Total Amounts '!L49/'Formula Calculations (LOCKED)'!B49</f>
        <v>#DIV/0!</v>
      </c>
      <c r="M49" s="29" t="e">
        <f>'Sheet 3. Total Amounts '!M49/'Formula Calculations (LOCKED)'!B49</f>
        <v>#DIV/0!</v>
      </c>
      <c r="N49" s="51" t="e">
        <f>'Sheet 3. Total Amounts '!N49/'Formula Calculations (LOCKED)'!B49</f>
        <v>#DIV/0!</v>
      </c>
    </row>
    <row r="50" spans="1:14" x14ac:dyDescent="0.2">
      <c r="A50" s="7">
        <f>'Sheet 2. County Level Data'!A48</f>
        <v>0</v>
      </c>
      <c r="B50" s="29" t="e">
        <f>'Sheet 3. Total Amounts '!B50/'Formula Calculations (LOCKED)'!B50</f>
        <v>#DIV/0!</v>
      </c>
      <c r="C50" s="52" t="e">
        <f>'Sheet 3. Total Amounts '!C50/'Formula Calculations (LOCKED)'!$B50</f>
        <v>#DIV/0!</v>
      </c>
      <c r="D50" s="52" t="e">
        <f>'Sheet 3. Total Amounts '!D50/'Formula Calculations (LOCKED)'!$B50</f>
        <v>#DIV/0!</v>
      </c>
      <c r="E50" s="52" t="e">
        <f>'Sheet 3. Total Amounts '!E50/'Formula Calculations (LOCKED)'!$B50</f>
        <v>#DIV/0!</v>
      </c>
      <c r="F50" s="52" t="e">
        <f>'Sheet 3. Total Amounts '!F50/'Formula Calculations (LOCKED)'!$B50</f>
        <v>#DIV/0!</v>
      </c>
      <c r="G50" s="52" t="e">
        <f>'Sheet 3. Total Amounts '!G50/'Formula Calculations (LOCKED)'!$B50</f>
        <v>#DIV/0!</v>
      </c>
      <c r="H50" s="52" t="e">
        <f>'Sheet 3. Total Amounts '!H50/'Formula Calculations (LOCKED)'!$B50</f>
        <v>#DIV/0!</v>
      </c>
      <c r="I50" s="52" t="e">
        <f>'Sheet 3. Total Amounts '!I50/'Formula Calculations (LOCKED)'!$B50</f>
        <v>#DIV/0!</v>
      </c>
      <c r="J50" s="52" t="e">
        <f>'Sheet 3. Total Amounts '!J50/'Formula Calculations (LOCKED)'!$B50</f>
        <v>#DIV/0!</v>
      </c>
      <c r="K50" s="52" t="e">
        <f>'Sheet 3. Total Amounts '!K50/'Formula Calculations (LOCKED)'!$B50</f>
        <v>#DIV/0!</v>
      </c>
      <c r="L50" s="29" t="e">
        <f>'Sheet 3. Total Amounts '!L50/'Formula Calculations (LOCKED)'!B50</f>
        <v>#DIV/0!</v>
      </c>
      <c r="M50" s="29" t="e">
        <f>'Sheet 3. Total Amounts '!M50/'Formula Calculations (LOCKED)'!B50</f>
        <v>#DIV/0!</v>
      </c>
      <c r="N50" s="51" t="e">
        <f>'Sheet 3. Total Amounts '!N50/'Formula Calculations (LOCKED)'!B50</f>
        <v>#DIV/0!</v>
      </c>
    </row>
    <row r="51" spans="1:14" x14ac:dyDescent="0.2">
      <c r="A51" s="7">
        <f>'Sheet 2. County Level Data'!A49</f>
        <v>0</v>
      </c>
      <c r="B51" s="29" t="e">
        <f>'Sheet 3. Total Amounts '!B51/'Formula Calculations (LOCKED)'!B51</f>
        <v>#DIV/0!</v>
      </c>
      <c r="C51" s="52" t="e">
        <f>'Sheet 3. Total Amounts '!C51/'Formula Calculations (LOCKED)'!$B51</f>
        <v>#DIV/0!</v>
      </c>
      <c r="D51" s="52" t="e">
        <f>'Sheet 3. Total Amounts '!D51/'Formula Calculations (LOCKED)'!$B51</f>
        <v>#DIV/0!</v>
      </c>
      <c r="E51" s="52" t="e">
        <f>'Sheet 3. Total Amounts '!E51/'Formula Calculations (LOCKED)'!$B51</f>
        <v>#DIV/0!</v>
      </c>
      <c r="F51" s="52" t="e">
        <f>'Sheet 3. Total Amounts '!F51/'Formula Calculations (LOCKED)'!$B51</f>
        <v>#DIV/0!</v>
      </c>
      <c r="G51" s="52" t="e">
        <f>'Sheet 3. Total Amounts '!G51/'Formula Calculations (LOCKED)'!$B51</f>
        <v>#DIV/0!</v>
      </c>
      <c r="H51" s="52" t="e">
        <f>'Sheet 3. Total Amounts '!H51/'Formula Calculations (LOCKED)'!$B51</f>
        <v>#DIV/0!</v>
      </c>
      <c r="I51" s="52" t="e">
        <f>'Sheet 3. Total Amounts '!I51/'Formula Calculations (LOCKED)'!$B51</f>
        <v>#DIV/0!</v>
      </c>
      <c r="J51" s="52" t="e">
        <f>'Sheet 3. Total Amounts '!J51/'Formula Calculations (LOCKED)'!$B51</f>
        <v>#DIV/0!</v>
      </c>
      <c r="K51" s="52" t="e">
        <f>'Sheet 3. Total Amounts '!K51/'Formula Calculations (LOCKED)'!$B51</f>
        <v>#DIV/0!</v>
      </c>
      <c r="L51" s="29" t="e">
        <f>'Sheet 3. Total Amounts '!L51/'Formula Calculations (LOCKED)'!B51</f>
        <v>#DIV/0!</v>
      </c>
      <c r="M51" s="29" t="e">
        <f>'Sheet 3. Total Amounts '!M51/'Formula Calculations (LOCKED)'!B51</f>
        <v>#DIV/0!</v>
      </c>
      <c r="N51" s="51" t="e">
        <f>'Sheet 3. Total Amounts '!N51/'Formula Calculations (LOCKED)'!B51</f>
        <v>#DIV/0!</v>
      </c>
    </row>
    <row r="52" spans="1:14" x14ac:dyDescent="0.2">
      <c r="A52" s="7">
        <f>'Sheet 2. County Level Data'!A50</f>
        <v>0</v>
      </c>
      <c r="B52" s="29" t="e">
        <f>'Sheet 3. Total Amounts '!B52/'Formula Calculations (LOCKED)'!B52</f>
        <v>#DIV/0!</v>
      </c>
      <c r="C52" s="52" t="e">
        <f>'Sheet 3. Total Amounts '!C52/'Formula Calculations (LOCKED)'!$B52</f>
        <v>#DIV/0!</v>
      </c>
      <c r="D52" s="52" t="e">
        <f>'Sheet 3. Total Amounts '!D52/'Formula Calculations (LOCKED)'!$B52</f>
        <v>#DIV/0!</v>
      </c>
      <c r="E52" s="52" t="e">
        <f>'Sheet 3. Total Amounts '!E52/'Formula Calculations (LOCKED)'!$B52</f>
        <v>#DIV/0!</v>
      </c>
      <c r="F52" s="52" t="e">
        <f>'Sheet 3. Total Amounts '!F52/'Formula Calculations (LOCKED)'!$B52</f>
        <v>#DIV/0!</v>
      </c>
      <c r="G52" s="52" t="e">
        <f>'Sheet 3. Total Amounts '!G52/'Formula Calculations (LOCKED)'!$B52</f>
        <v>#DIV/0!</v>
      </c>
      <c r="H52" s="52" t="e">
        <f>'Sheet 3. Total Amounts '!H52/'Formula Calculations (LOCKED)'!$B52</f>
        <v>#DIV/0!</v>
      </c>
      <c r="I52" s="52" t="e">
        <f>'Sheet 3. Total Amounts '!I52/'Formula Calculations (LOCKED)'!$B52</f>
        <v>#DIV/0!</v>
      </c>
      <c r="J52" s="52" t="e">
        <f>'Sheet 3. Total Amounts '!J52/'Formula Calculations (LOCKED)'!$B52</f>
        <v>#DIV/0!</v>
      </c>
      <c r="K52" s="52" t="e">
        <f>'Sheet 3. Total Amounts '!K52/'Formula Calculations (LOCKED)'!$B52</f>
        <v>#DIV/0!</v>
      </c>
      <c r="L52" s="29" t="e">
        <f>'Sheet 3. Total Amounts '!L52/'Formula Calculations (LOCKED)'!B52</f>
        <v>#DIV/0!</v>
      </c>
      <c r="M52" s="29" t="e">
        <f>'Sheet 3. Total Amounts '!M52/'Formula Calculations (LOCKED)'!B52</f>
        <v>#DIV/0!</v>
      </c>
      <c r="N52" s="51" t="e">
        <f>'Sheet 3. Total Amounts '!N52/'Formula Calculations (LOCKED)'!B52</f>
        <v>#DIV/0!</v>
      </c>
    </row>
    <row r="53" spans="1:14" x14ac:dyDescent="0.2">
      <c r="A53" s="7">
        <f>'Sheet 2. County Level Data'!A51</f>
        <v>0</v>
      </c>
      <c r="B53" s="29" t="e">
        <f>'Sheet 3. Total Amounts '!B53/'Formula Calculations (LOCKED)'!B53</f>
        <v>#DIV/0!</v>
      </c>
      <c r="C53" s="52" t="e">
        <f>'Sheet 3. Total Amounts '!C53/'Formula Calculations (LOCKED)'!$B53</f>
        <v>#DIV/0!</v>
      </c>
      <c r="D53" s="52" t="e">
        <f>'Sheet 3. Total Amounts '!D53/'Formula Calculations (LOCKED)'!$B53</f>
        <v>#DIV/0!</v>
      </c>
      <c r="E53" s="52" t="e">
        <f>'Sheet 3. Total Amounts '!E53/'Formula Calculations (LOCKED)'!$B53</f>
        <v>#DIV/0!</v>
      </c>
      <c r="F53" s="52" t="e">
        <f>'Sheet 3. Total Amounts '!F53/'Formula Calculations (LOCKED)'!$B53</f>
        <v>#DIV/0!</v>
      </c>
      <c r="G53" s="52" t="e">
        <f>'Sheet 3. Total Amounts '!G53/'Formula Calculations (LOCKED)'!$B53</f>
        <v>#DIV/0!</v>
      </c>
      <c r="H53" s="52" t="e">
        <f>'Sheet 3. Total Amounts '!H53/'Formula Calculations (LOCKED)'!$B53</f>
        <v>#DIV/0!</v>
      </c>
      <c r="I53" s="52" t="e">
        <f>'Sheet 3. Total Amounts '!I53/'Formula Calculations (LOCKED)'!$B53</f>
        <v>#DIV/0!</v>
      </c>
      <c r="J53" s="52" t="e">
        <f>'Sheet 3. Total Amounts '!J53/'Formula Calculations (LOCKED)'!$B53</f>
        <v>#DIV/0!</v>
      </c>
      <c r="K53" s="52" t="e">
        <f>'Sheet 3. Total Amounts '!K53/'Formula Calculations (LOCKED)'!$B53</f>
        <v>#DIV/0!</v>
      </c>
      <c r="L53" s="29" t="e">
        <f>'Sheet 3. Total Amounts '!L53/'Formula Calculations (LOCKED)'!B53</f>
        <v>#DIV/0!</v>
      </c>
      <c r="M53" s="29" t="e">
        <f>'Sheet 3. Total Amounts '!M53/'Formula Calculations (LOCKED)'!B53</f>
        <v>#DIV/0!</v>
      </c>
      <c r="N53" s="51" t="e">
        <f>'Sheet 3. Total Amounts '!N53/'Formula Calculations (LOCKED)'!B53</f>
        <v>#DIV/0!</v>
      </c>
    </row>
    <row r="54" spans="1:14" x14ac:dyDescent="0.2">
      <c r="A54" s="7">
        <f>'Sheet 2. County Level Data'!A52</f>
        <v>0</v>
      </c>
      <c r="B54" s="29" t="e">
        <f>'Sheet 3. Total Amounts '!B54/'Formula Calculations (LOCKED)'!B54</f>
        <v>#DIV/0!</v>
      </c>
      <c r="C54" s="52" t="e">
        <f>'Sheet 3. Total Amounts '!C54/'Formula Calculations (LOCKED)'!$B54</f>
        <v>#DIV/0!</v>
      </c>
      <c r="D54" s="52" t="e">
        <f>'Sheet 3. Total Amounts '!D54/'Formula Calculations (LOCKED)'!$B54</f>
        <v>#DIV/0!</v>
      </c>
      <c r="E54" s="52" t="e">
        <f>'Sheet 3. Total Amounts '!E54/'Formula Calculations (LOCKED)'!$B54</f>
        <v>#DIV/0!</v>
      </c>
      <c r="F54" s="52" t="e">
        <f>'Sheet 3. Total Amounts '!F54/'Formula Calculations (LOCKED)'!$B54</f>
        <v>#DIV/0!</v>
      </c>
      <c r="G54" s="52" t="e">
        <f>'Sheet 3. Total Amounts '!G54/'Formula Calculations (LOCKED)'!$B54</f>
        <v>#DIV/0!</v>
      </c>
      <c r="H54" s="52" t="e">
        <f>'Sheet 3. Total Amounts '!H54/'Formula Calculations (LOCKED)'!$B54</f>
        <v>#DIV/0!</v>
      </c>
      <c r="I54" s="52" t="e">
        <f>'Sheet 3. Total Amounts '!I54/'Formula Calculations (LOCKED)'!$B54</f>
        <v>#DIV/0!</v>
      </c>
      <c r="J54" s="52" t="e">
        <f>'Sheet 3. Total Amounts '!J54/'Formula Calculations (LOCKED)'!$B54</f>
        <v>#DIV/0!</v>
      </c>
      <c r="K54" s="52" t="e">
        <f>'Sheet 3. Total Amounts '!K54/'Formula Calculations (LOCKED)'!$B54</f>
        <v>#DIV/0!</v>
      </c>
      <c r="L54" s="29" t="e">
        <f>'Sheet 3. Total Amounts '!L54/'Formula Calculations (LOCKED)'!B54</f>
        <v>#DIV/0!</v>
      </c>
      <c r="M54" s="29" t="e">
        <f>'Sheet 3. Total Amounts '!M54/'Formula Calculations (LOCKED)'!B54</f>
        <v>#DIV/0!</v>
      </c>
      <c r="N54" s="51" t="e">
        <f>'Sheet 3. Total Amounts '!N54/'Formula Calculations (LOCKED)'!B54</f>
        <v>#DIV/0!</v>
      </c>
    </row>
    <row r="55" spans="1:14" x14ac:dyDescent="0.2">
      <c r="A55" s="7">
        <f>'Sheet 2. County Level Data'!A53</f>
        <v>0</v>
      </c>
      <c r="B55" s="29" t="e">
        <f>'Sheet 3. Total Amounts '!B55/'Formula Calculations (LOCKED)'!B55</f>
        <v>#DIV/0!</v>
      </c>
      <c r="C55" s="52" t="e">
        <f>'Sheet 3. Total Amounts '!C55/'Formula Calculations (LOCKED)'!$B55</f>
        <v>#DIV/0!</v>
      </c>
      <c r="D55" s="52" t="e">
        <f>'Sheet 3. Total Amounts '!D55/'Formula Calculations (LOCKED)'!$B55</f>
        <v>#DIV/0!</v>
      </c>
      <c r="E55" s="52" t="e">
        <f>'Sheet 3. Total Amounts '!E55/'Formula Calculations (LOCKED)'!$B55</f>
        <v>#DIV/0!</v>
      </c>
      <c r="F55" s="52" t="e">
        <f>'Sheet 3. Total Amounts '!F55/'Formula Calculations (LOCKED)'!$B55</f>
        <v>#DIV/0!</v>
      </c>
      <c r="G55" s="52" t="e">
        <f>'Sheet 3. Total Amounts '!G55/'Formula Calculations (LOCKED)'!$B55</f>
        <v>#DIV/0!</v>
      </c>
      <c r="H55" s="52" t="e">
        <f>'Sheet 3. Total Amounts '!H55/'Formula Calculations (LOCKED)'!$B55</f>
        <v>#DIV/0!</v>
      </c>
      <c r="I55" s="52" t="e">
        <f>'Sheet 3. Total Amounts '!I55/'Formula Calculations (LOCKED)'!$B55</f>
        <v>#DIV/0!</v>
      </c>
      <c r="J55" s="52" t="e">
        <f>'Sheet 3. Total Amounts '!J55/'Formula Calculations (LOCKED)'!$B55</f>
        <v>#DIV/0!</v>
      </c>
      <c r="K55" s="52" t="e">
        <f>'Sheet 3. Total Amounts '!K55/'Formula Calculations (LOCKED)'!$B55</f>
        <v>#DIV/0!</v>
      </c>
      <c r="L55" s="29" t="e">
        <f>'Sheet 3. Total Amounts '!L55/'Formula Calculations (LOCKED)'!B55</f>
        <v>#DIV/0!</v>
      </c>
      <c r="M55" s="29" t="e">
        <f>'Sheet 3. Total Amounts '!M55/'Formula Calculations (LOCKED)'!B55</f>
        <v>#DIV/0!</v>
      </c>
      <c r="N55" s="51" t="e">
        <f>'Sheet 3. Total Amounts '!N55/'Formula Calculations (LOCKED)'!B55</f>
        <v>#DIV/0!</v>
      </c>
    </row>
    <row r="56" spans="1:14" x14ac:dyDescent="0.2">
      <c r="A56" s="7">
        <f>'Sheet 2. County Level Data'!A54</f>
        <v>0</v>
      </c>
      <c r="B56" s="29" t="e">
        <f>'Sheet 3. Total Amounts '!B56/'Formula Calculations (LOCKED)'!B56</f>
        <v>#DIV/0!</v>
      </c>
      <c r="C56" s="52" t="e">
        <f>'Sheet 3. Total Amounts '!C56/'Formula Calculations (LOCKED)'!$B56</f>
        <v>#DIV/0!</v>
      </c>
      <c r="D56" s="52" t="e">
        <f>'Sheet 3. Total Amounts '!D56/'Formula Calculations (LOCKED)'!$B56</f>
        <v>#DIV/0!</v>
      </c>
      <c r="E56" s="52" t="e">
        <f>'Sheet 3. Total Amounts '!E56/'Formula Calculations (LOCKED)'!$B56</f>
        <v>#DIV/0!</v>
      </c>
      <c r="F56" s="52" t="e">
        <f>'Sheet 3. Total Amounts '!F56/'Formula Calculations (LOCKED)'!$B56</f>
        <v>#DIV/0!</v>
      </c>
      <c r="G56" s="52" t="e">
        <f>'Sheet 3. Total Amounts '!G56/'Formula Calculations (LOCKED)'!$B56</f>
        <v>#DIV/0!</v>
      </c>
      <c r="H56" s="52" t="e">
        <f>'Sheet 3. Total Amounts '!H56/'Formula Calculations (LOCKED)'!$B56</f>
        <v>#DIV/0!</v>
      </c>
      <c r="I56" s="52" t="e">
        <f>'Sheet 3. Total Amounts '!I56/'Formula Calculations (LOCKED)'!$B56</f>
        <v>#DIV/0!</v>
      </c>
      <c r="J56" s="52" t="e">
        <f>'Sheet 3. Total Amounts '!J56/'Formula Calculations (LOCKED)'!$B56</f>
        <v>#DIV/0!</v>
      </c>
      <c r="K56" s="52" t="e">
        <f>'Sheet 3. Total Amounts '!K56/'Formula Calculations (LOCKED)'!$B56</f>
        <v>#DIV/0!</v>
      </c>
      <c r="L56" s="29" t="e">
        <f>'Sheet 3. Total Amounts '!L56/'Formula Calculations (LOCKED)'!B56</f>
        <v>#DIV/0!</v>
      </c>
      <c r="M56" s="29" t="e">
        <f>'Sheet 3. Total Amounts '!M56/'Formula Calculations (LOCKED)'!B56</f>
        <v>#DIV/0!</v>
      </c>
      <c r="N56" s="51" t="e">
        <f>'Sheet 3. Total Amounts '!N56/'Formula Calculations (LOCKED)'!B56</f>
        <v>#DIV/0!</v>
      </c>
    </row>
    <row r="57" spans="1:14" x14ac:dyDescent="0.2">
      <c r="A57" s="7">
        <f>'Sheet 2. County Level Data'!A55</f>
        <v>0</v>
      </c>
      <c r="B57" s="29" t="e">
        <f>'Sheet 3. Total Amounts '!B57/'Formula Calculations (LOCKED)'!B57</f>
        <v>#DIV/0!</v>
      </c>
      <c r="C57" s="52" t="e">
        <f>'Sheet 3. Total Amounts '!C57/'Formula Calculations (LOCKED)'!$B57</f>
        <v>#DIV/0!</v>
      </c>
      <c r="D57" s="52" t="e">
        <f>'Sheet 3. Total Amounts '!D57/'Formula Calculations (LOCKED)'!$B57</f>
        <v>#DIV/0!</v>
      </c>
      <c r="E57" s="52" t="e">
        <f>'Sheet 3. Total Amounts '!E57/'Formula Calculations (LOCKED)'!$B57</f>
        <v>#DIV/0!</v>
      </c>
      <c r="F57" s="52" t="e">
        <f>'Sheet 3. Total Amounts '!F57/'Formula Calculations (LOCKED)'!$B57</f>
        <v>#DIV/0!</v>
      </c>
      <c r="G57" s="52" t="e">
        <f>'Sheet 3. Total Amounts '!G57/'Formula Calculations (LOCKED)'!$B57</f>
        <v>#DIV/0!</v>
      </c>
      <c r="H57" s="52" t="e">
        <f>'Sheet 3. Total Amounts '!H57/'Formula Calculations (LOCKED)'!$B57</f>
        <v>#DIV/0!</v>
      </c>
      <c r="I57" s="52" t="e">
        <f>'Sheet 3. Total Amounts '!I57/'Formula Calculations (LOCKED)'!$B57</f>
        <v>#DIV/0!</v>
      </c>
      <c r="J57" s="52" t="e">
        <f>'Sheet 3. Total Amounts '!J57/'Formula Calculations (LOCKED)'!$B57</f>
        <v>#DIV/0!</v>
      </c>
      <c r="K57" s="52" t="e">
        <f>'Sheet 3. Total Amounts '!K57/'Formula Calculations (LOCKED)'!$B57</f>
        <v>#DIV/0!</v>
      </c>
      <c r="L57" s="29" t="e">
        <f>'Sheet 3. Total Amounts '!L57/'Formula Calculations (LOCKED)'!B57</f>
        <v>#DIV/0!</v>
      </c>
      <c r="M57" s="29" t="e">
        <f>'Sheet 3. Total Amounts '!M57/'Formula Calculations (LOCKED)'!B57</f>
        <v>#DIV/0!</v>
      </c>
      <c r="N57" s="51" t="e">
        <f>'Sheet 3. Total Amounts '!N57/'Formula Calculations (LOCKED)'!B57</f>
        <v>#DIV/0!</v>
      </c>
    </row>
    <row r="58" spans="1:14" x14ac:dyDescent="0.2">
      <c r="A58" s="7">
        <f>'Sheet 2. County Level Data'!A56</f>
        <v>0</v>
      </c>
      <c r="B58" s="29" t="e">
        <f>'Sheet 3. Total Amounts '!B58/'Formula Calculations (LOCKED)'!B58</f>
        <v>#DIV/0!</v>
      </c>
      <c r="C58" s="52" t="e">
        <f>'Sheet 3. Total Amounts '!C58/'Formula Calculations (LOCKED)'!$B58</f>
        <v>#DIV/0!</v>
      </c>
      <c r="D58" s="52" t="e">
        <f>'Sheet 3. Total Amounts '!D58/'Formula Calculations (LOCKED)'!$B58</f>
        <v>#DIV/0!</v>
      </c>
      <c r="E58" s="52" t="e">
        <f>'Sheet 3. Total Amounts '!E58/'Formula Calculations (LOCKED)'!$B58</f>
        <v>#DIV/0!</v>
      </c>
      <c r="F58" s="52" t="e">
        <f>'Sheet 3. Total Amounts '!F58/'Formula Calculations (LOCKED)'!$B58</f>
        <v>#DIV/0!</v>
      </c>
      <c r="G58" s="52" t="e">
        <f>'Sheet 3. Total Amounts '!G58/'Formula Calculations (LOCKED)'!$B58</f>
        <v>#DIV/0!</v>
      </c>
      <c r="H58" s="52" t="e">
        <f>'Sheet 3. Total Amounts '!H58/'Formula Calculations (LOCKED)'!$B58</f>
        <v>#DIV/0!</v>
      </c>
      <c r="I58" s="52" t="e">
        <f>'Sheet 3. Total Amounts '!I58/'Formula Calculations (LOCKED)'!$B58</f>
        <v>#DIV/0!</v>
      </c>
      <c r="J58" s="52" t="e">
        <f>'Sheet 3. Total Amounts '!J58/'Formula Calculations (LOCKED)'!$B58</f>
        <v>#DIV/0!</v>
      </c>
      <c r="K58" s="52" t="e">
        <f>'Sheet 3. Total Amounts '!K58/'Formula Calculations (LOCKED)'!$B58</f>
        <v>#DIV/0!</v>
      </c>
      <c r="L58" s="29" t="e">
        <f>'Sheet 3. Total Amounts '!L58/'Formula Calculations (LOCKED)'!B58</f>
        <v>#DIV/0!</v>
      </c>
      <c r="M58" s="29" t="e">
        <f>'Sheet 3. Total Amounts '!M58/'Formula Calculations (LOCKED)'!B58</f>
        <v>#DIV/0!</v>
      </c>
      <c r="N58" s="51" t="e">
        <f>'Sheet 3. Total Amounts '!N58/'Formula Calculations (LOCKED)'!B58</f>
        <v>#DIV/0!</v>
      </c>
    </row>
    <row r="59" spans="1:14" x14ac:dyDescent="0.2">
      <c r="A59" s="7">
        <f>'Sheet 2. County Level Data'!A57</f>
        <v>0</v>
      </c>
      <c r="B59" s="29" t="e">
        <f>'Sheet 3. Total Amounts '!B59/'Formula Calculations (LOCKED)'!B59</f>
        <v>#DIV/0!</v>
      </c>
      <c r="C59" s="52" t="e">
        <f>'Sheet 3. Total Amounts '!C59/'Formula Calculations (LOCKED)'!$B59</f>
        <v>#DIV/0!</v>
      </c>
      <c r="D59" s="52" t="e">
        <f>'Sheet 3. Total Amounts '!D59/'Formula Calculations (LOCKED)'!$B59</f>
        <v>#DIV/0!</v>
      </c>
      <c r="E59" s="52" t="e">
        <f>'Sheet 3. Total Amounts '!E59/'Formula Calculations (LOCKED)'!$B59</f>
        <v>#DIV/0!</v>
      </c>
      <c r="F59" s="52" t="e">
        <f>'Sheet 3. Total Amounts '!F59/'Formula Calculations (LOCKED)'!$B59</f>
        <v>#DIV/0!</v>
      </c>
      <c r="G59" s="52" t="e">
        <f>'Sheet 3. Total Amounts '!G59/'Formula Calculations (LOCKED)'!$B59</f>
        <v>#DIV/0!</v>
      </c>
      <c r="H59" s="52" t="e">
        <f>'Sheet 3. Total Amounts '!H59/'Formula Calculations (LOCKED)'!$B59</f>
        <v>#DIV/0!</v>
      </c>
      <c r="I59" s="52" t="e">
        <f>'Sheet 3. Total Amounts '!I59/'Formula Calculations (LOCKED)'!$B59</f>
        <v>#DIV/0!</v>
      </c>
      <c r="J59" s="52" t="e">
        <f>'Sheet 3. Total Amounts '!J59/'Formula Calculations (LOCKED)'!$B59</f>
        <v>#DIV/0!</v>
      </c>
      <c r="K59" s="52" t="e">
        <f>'Sheet 3. Total Amounts '!K59/'Formula Calculations (LOCKED)'!$B59</f>
        <v>#DIV/0!</v>
      </c>
      <c r="L59" s="29" t="e">
        <f>'Sheet 3. Total Amounts '!L59/'Formula Calculations (LOCKED)'!B59</f>
        <v>#DIV/0!</v>
      </c>
      <c r="M59" s="29" t="e">
        <f>'Sheet 3. Total Amounts '!M59/'Formula Calculations (LOCKED)'!B59</f>
        <v>#DIV/0!</v>
      </c>
      <c r="N59" s="51" t="e">
        <f>'Sheet 3. Total Amounts '!N59/'Formula Calculations (LOCKED)'!B59</f>
        <v>#DIV/0!</v>
      </c>
    </row>
    <row r="60" spans="1:14" x14ac:dyDescent="0.2">
      <c r="A60" s="7">
        <f>'Sheet 2. County Level Data'!A58</f>
        <v>0</v>
      </c>
      <c r="B60" s="29" t="e">
        <f>'Sheet 3. Total Amounts '!B60/'Formula Calculations (LOCKED)'!B60</f>
        <v>#DIV/0!</v>
      </c>
      <c r="C60" s="52" t="e">
        <f>'Sheet 3. Total Amounts '!C60/'Formula Calculations (LOCKED)'!$B60</f>
        <v>#DIV/0!</v>
      </c>
      <c r="D60" s="52" t="e">
        <f>'Sheet 3. Total Amounts '!D60/'Formula Calculations (LOCKED)'!$B60</f>
        <v>#DIV/0!</v>
      </c>
      <c r="E60" s="52" t="e">
        <f>'Sheet 3. Total Amounts '!E60/'Formula Calculations (LOCKED)'!$B60</f>
        <v>#DIV/0!</v>
      </c>
      <c r="F60" s="52" t="e">
        <f>'Sheet 3. Total Amounts '!F60/'Formula Calculations (LOCKED)'!$B60</f>
        <v>#DIV/0!</v>
      </c>
      <c r="G60" s="52" t="e">
        <f>'Sheet 3. Total Amounts '!G60/'Formula Calculations (LOCKED)'!$B60</f>
        <v>#DIV/0!</v>
      </c>
      <c r="H60" s="52" t="e">
        <f>'Sheet 3. Total Amounts '!H60/'Formula Calculations (LOCKED)'!$B60</f>
        <v>#DIV/0!</v>
      </c>
      <c r="I60" s="52" t="e">
        <f>'Sheet 3. Total Amounts '!I60/'Formula Calculations (LOCKED)'!$B60</f>
        <v>#DIV/0!</v>
      </c>
      <c r="J60" s="52" t="e">
        <f>'Sheet 3. Total Amounts '!J60/'Formula Calculations (LOCKED)'!$B60</f>
        <v>#DIV/0!</v>
      </c>
      <c r="K60" s="52" t="e">
        <f>'Sheet 3. Total Amounts '!K60/'Formula Calculations (LOCKED)'!$B60</f>
        <v>#DIV/0!</v>
      </c>
      <c r="L60" s="29" t="e">
        <f>'Sheet 3. Total Amounts '!L60/'Formula Calculations (LOCKED)'!B60</f>
        <v>#DIV/0!</v>
      </c>
      <c r="M60" s="29" t="e">
        <f>'Sheet 3. Total Amounts '!M60/'Formula Calculations (LOCKED)'!B60</f>
        <v>#DIV/0!</v>
      </c>
      <c r="N60" s="51" t="e">
        <f>'Sheet 3. Total Amounts '!N60/'Formula Calculations (LOCKED)'!B60</f>
        <v>#DIV/0!</v>
      </c>
    </row>
    <row r="61" spans="1:14" x14ac:dyDescent="0.2">
      <c r="A61" s="7">
        <f>'Sheet 2. County Level Data'!A59</f>
        <v>0</v>
      </c>
      <c r="B61" s="29" t="e">
        <f>'Sheet 3. Total Amounts '!B61/'Formula Calculations (LOCKED)'!B61</f>
        <v>#DIV/0!</v>
      </c>
      <c r="C61" s="52" t="e">
        <f>'Sheet 3. Total Amounts '!C61/'Formula Calculations (LOCKED)'!$B61</f>
        <v>#DIV/0!</v>
      </c>
      <c r="D61" s="52" t="e">
        <f>'Sheet 3. Total Amounts '!D61/'Formula Calculations (LOCKED)'!$B61</f>
        <v>#DIV/0!</v>
      </c>
      <c r="E61" s="52" t="e">
        <f>'Sheet 3. Total Amounts '!E61/'Formula Calculations (LOCKED)'!$B61</f>
        <v>#DIV/0!</v>
      </c>
      <c r="F61" s="52" t="e">
        <f>'Sheet 3. Total Amounts '!F61/'Formula Calculations (LOCKED)'!$B61</f>
        <v>#DIV/0!</v>
      </c>
      <c r="G61" s="52" t="e">
        <f>'Sheet 3. Total Amounts '!G61/'Formula Calculations (LOCKED)'!$B61</f>
        <v>#DIV/0!</v>
      </c>
      <c r="H61" s="52" t="e">
        <f>'Sheet 3. Total Amounts '!H61/'Formula Calculations (LOCKED)'!$B61</f>
        <v>#DIV/0!</v>
      </c>
      <c r="I61" s="52" t="e">
        <f>'Sheet 3. Total Amounts '!I61/'Formula Calculations (LOCKED)'!$B61</f>
        <v>#DIV/0!</v>
      </c>
      <c r="J61" s="52" t="e">
        <f>'Sheet 3. Total Amounts '!J61/'Formula Calculations (LOCKED)'!$B61</f>
        <v>#DIV/0!</v>
      </c>
      <c r="K61" s="52" t="e">
        <f>'Sheet 3. Total Amounts '!K61/'Formula Calculations (LOCKED)'!$B61</f>
        <v>#DIV/0!</v>
      </c>
      <c r="L61" s="29" t="e">
        <f>'Sheet 3. Total Amounts '!L61/'Formula Calculations (LOCKED)'!B61</f>
        <v>#DIV/0!</v>
      </c>
      <c r="M61" s="29" t="e">
        <f>'Sheet 3. Total Amounts '!M61/'Formula Calculations (LOCKED)'!B61</f>
        <v>#DIV/0!</v>
      </c>
      <c r="N61" s="51" t="e">
        <f>'Sheet 3. Total Amounts '!N61/'Formula Calculations (LOCKED)'!B61</f>
        <v>#DIV/0!</v>
      </c>
    </row>
    <row r="62" spans="1:14" x14ac:dyDescent="0.2">
      <c r="A62" s="7">
        <f>'Sheet 2. County Level Data'!A60</f>
        <v>0</v>
      </c>
      <c r="B62" s="29" t="e">
        <f>'Sheet 3. Total Amounts '!B62/'Formula Calculations (LOCKED)'!B62</f>
        <v>#DIV/0!</v>
      </c>
      <c r="C62" s="52" t="e">
        <f>'Sheet 3. Total Amounts '!C62/'Formula Calculations (LOCKED)'!$B62</f>
        <v>#DIV/0!</v>
      </c>
      <c r="D62" s="52" t="e">
        <f>'Sheet 3. Total Amounts '!D62/'Formula Calculations (LOCKED)'!$B62</f>
        <v>#DIV/0!</v>
      </c>
      <c r="E62" s="52" t="e">
        <f>'Sheet 3. Total Amounts '!E62/'Formula Calculations (LOCKED)'!$B62</f>
        <v>#DIV/0!</v>
      </c>
      <c r="F62" s="52" t="e">
        <f>'Sheet 3. Total Amounts '!F62/'Formula Calculations (LOCKED)'!$B62</f>
        <v>#DIV/0!</v>
      </c>
      <c r="G62" s="52" t="e">
        <f>'Sheet 3. Total Amounts '!G62/'Formula Calculations (LOCKED)'!$B62</f>
        <v>#DIV/0!</v>
      </c>
      <c r="H62" s="52" t="e">
        <f>'Sheet 3. Total Amounts '!H62/'Formula Calculations (LOCKED)'!$B62</f>
        <v>#DIV/0!</v>
      </c>
      <c r="I62" s="52" t="e">
        <f>'Sheet 3. Total Amounts '!I62/'Formula Calculations (LOCKED)'!$B62</f>
        <v>#DIV/0!</v>
      </c>
      <c r="J62" s="52" t="e">
        <f>'Sheet 3. Total Amounts '!J62/'Formula Calculations (LOCKED)'!$B62</f>
        <v>#DIV/0!</v>
      </c>
      <c r="K62" s="52" t="e">
        <f>'Sheet 3. Total Amounts '!K62/'Formula Calculations (LOCKED)'!$B62</f>
        <v>#DIV/0!</v>
      </c>
      <c r="L62" s="29" t="e">
        <f>'Sheet 3. Total Amounts '!L62/'Formula Calculations (LOCKED)'!B62</f>
        <v>#DIV/0!</v>
      </c>
      <c r="M62" s="29" t="e">
        <f>'Sheet 3. Total Amounts '!M62/'Formula Calculations (LOCKED)'!B62</f>
        <v>#DIV/0!</v>
      </c>
      <c r="N62" s="51" t="e">
        <f>'Sheet 3. Total Amounts '!N62/'Formula Calculations (LOCKED)'!B62</f>
        <v>#DIV/0!</v>
      </c>
    </row>
    <row r="63" spans="1:14" x14ac:dyDescent="0.2">
      <c r="A63" s="7">
        <f>'Sheet 2. County Level Data'!A61</f>
        <v>0</v>
      </c>
      <c r="B63" s="29" t="e">
        <f>'Sheet 3. Total Amounts '!B63/'Formula Calculations (LOCKED)'!B63</f>
        <v>#DIV/0!</v>
      </c>
      <c r="C63" s="52" t="e">
        <f>'Sheet 3. Total Amounts '!C63/'Formula Calculations (LOCKED)'!$B63</f>
        <v>#DIV/0!</v>
      </c>
      <c r="D63" s="52" t="e">
        <f>'Sheet 3. Total Amounts '!D63/'Formula Calculations (LOCKED)'!$B63</f>
        <v>#DIV/0!</v>
      </c>
      <c r="E63" s="52" t="e">
        <f>'Sheet 3. Total Amounts '!E63/'Formula Calculations (LOCKED)'!$B63</f>
        <v>#DIV/0!</v>
      </c>
      <c r="F63" s="52" t="e">
        <f>'Sheet 3. Total Amounts '!F63/'Formula Calculations (LOCKED)'!$B63</f>
        <v>#DIV/0!</v>
      </c>
      <c r="G63" s="52" t="e">
        <f>'Sheet 3. Total Amounts '!G63/'Formula Calculations (LOCKED)'!$B63</f>
        <v>#DIV/0!</v>
      </c>
      <c r="H63" s="52" t="e">
        <f>'Sheet 3. Total Amounts '!H63/'Formula Calculations (LOCKED)'!$B63</f>
        <v>#DIV/0!</v>
      </c>
      <c r="I63" s="52" t="e">
        <f>'Sheet 3. Total Amounts '!I63/'Formula Calculations (LOCKED)'!$B63</f>
        <v>#DIV/0!</v>
      </c>
      <c r="J63" s="52" t="e">
        <f>'Sheet 3. Total Amounts '!J63/'Formula Calculations (LOCKED)'!$B63</f>
        <v>#DIV/0!</v>
      </c>
      <c r="K63" s="52" t="e">
        <f>'Sheet 3. Total Amounts '!K63/'Formula Calculations (LOCKED)'!$B63</f>
        <v>#DIV/0!</v>
      </c>
      <c r="L63" s="29" t="e">
        <f>'Sheet 3. Total Amounts '!L63/'Formula Calculations (LOCKED)'!B63</f>
        <v>#DIV/0!</v>
      </c>
      <c r="M63" s="29" t="e">
        <f>'Sheet 3. Total Amounts '!M63/'Formula Calculations (LOCKED)'!B63</f>
        <v>#DIV/0!</v>
      </c>
      <c r="N63" s="51" t="e">
        <f>'Sheet 3. Total Amounts '!N63/'Formula Calculations (LOCKED)'!B63</f>
        <v>#DIV/0!</v>
      </c>
    </row>
    <row r="64" spans="1:14" x14ac:dyDescent="0.2">
      <c r="A64" s="7">
        <f>'Sheet 2. County Level Data'!A62</f>
        <v>0</v>
      </c>
      <c r="B64" s="29" t="e">
        <f>'Sheet 3. Total Amounts '!B64/'Formula Calculations (LOCKED)'!B64</f>
        <v>#DIV/0!</v>
      </c>
      <c r="C64" s="52" t="e">
        <f>'Sheet 3. Total Amounts '!C64/'Formula Calculations (LOCKED)'!$B64</f>
        <v>#DIV/0!</v>
      </c>
      <c r="D64" s="52" t="e">
        <f>'Sheet 3. Total Amounts '!D64/'Formula Calculations (LOCKED)'!$B64</f>
        <v>#DIV/0!</v>
      </c>
      <c r="E64" s="52" t="e">
        <f>'Sheet 3. Total Amounts '!E64/'Formula Calculations (LOCKED)'!$B64</f>
        <v>#DIV/0!</v>
      </c>
      <c r="F64" s="52" t="e">
        <f>'Sheet 3. Total Amounts '!F64/'Formula Calculations (LOCKED)'!$B64</f>
        <v>#DIV/0!</v>
      </c>
      <c r="G64" s="52" t="e">
        <f>'Sheet 3. Total Amounts '!G64/'Formula Calculations (LOCKED)'!$B64</f>
        <v>#DIV/0!</v>
      </c>
      <c r="H64" s="52" t="e">
        <f>'Sheet 3. Total Amounts '!H64/'Formula Calculations (LOCKED)'!$B64</f>
        <v>#DIV/0!</v>
      </c>
      <c r="I64" s="52" t="e">
        <f>'Sheet 3. Total Amounts '!I64/'Formula Calculations (LOCKED)'!$B64</f>
        <v>#DIV/0!</v>
      </c>
      <c r="J64" s="52" t="e">
        <f>'Sheet 3. Total Amounts '!J64/'Formula Calculations (LOCKED)'!$B64</f>
        <v>#DIV/0!</v>
      </c>
      <c r="K64" s="52" t="e">
        <f>'Sheet 3. Total Amounts '!K64/'Formula Calculations (LOCKED)'!$B64</f>
        <v>#DIV/0!</v>
      </c>
      <c r="L64" s="29" t="e">
        <f>'Sheet 3. Total Amounts '!L64/'Formula Calculations (LOCKED)'!B64</f>
        <v>#DIV/0!</v>
      </c>
      <c r="M64" s="29" t="e">
        <f>'Sheet 3. Total Amounts '!M64/'Formula Calculations (LOCKED)'!B64</f>
        <v>#DIV/0!</v>
      </c>
      <c r="N64" s="51" t="e">
        <f>'Sheet 3. Total Amounts '!N64/'Formula Calculations (LOCKED)'!B64</f>
        <v>#DIV/0!</v>
      </c>
    </row>
    <row r="65" spans="1:14" x14ac:dyDescent="0.2">
      <c r="A65" s="7">
        <f>'Sheet 2. County Level Data'!A63</f>
        <v>0</v>
      </c>
      <c r="B65" s="29" t="e">
        <f>'Sheet 3. Total Amounts '!B65/'Formula Calculations (LOCKED)'!B65</f>
        <v>#DIV/0!</v>
      </c>
      <c r="C65" s="52" t="e">
        <f>'Sheet 3. Total Amounts '!C65/'Formula Calculations (LOCKED)'!$B65</f>
        <v>#DIV/0!</v>
      </c>
      <c r="D65" s="52" t="e">
        <f>'Sheet 3. Total Amounts '!D65/'Formula Calculations (LOCKED)'!$B65</f>
        <v>#DIV/0!</v>
      </c>
      <c r="E65" s="52" t="e">
        <f>'Sheet 3. Total Amounts '!E65/'Formula Calculations (LOCKED)'!$B65</f>
        <v>#DIV/0!</v>
      </c>
      <c r="F65" s="52" t="e">
        <f>'Sheet 3. Total Amounts '!F65/'Formula Calculations (LOCKED)'!$B65</f>
        <v>#DIV/0!</v>
      </c>
      <c r="G65" s="52" t="e">
        <f>'Sheet 3. Total Amounts '!G65/'Formula Calculations (LOCKED)'!$B65</f>
        <v>#DIV/0!</v>
      </c>
      <c r="H65" s="52" t="e">
        <f>'Sheet 3. Total Amounts '!H65/'Formula Calculations (LOCKED)'!$B65</f>
        <v>#DIV/0!</v>
      </c>
      <c r="I65" s="52" t="e">
        <f>'Sheet 3. Total Amounts '!I65/'Formula Calculations (LOCKED)'!$B65</f>
        <v>#DIV/0!</v>
      </c>
      <c r="J65" s="52" t="e">
        <f>'Sheet 3. Total Amounts '!J65/'Formula Calculations (LOCKED)'!$B65</f>
        <v>#DIV/0!</v>
      </c>
      <c r="K65" s="52" t="e">
        <f>'Sheet 3. Total Amounts '!K65/'Formula Calculations (LOCKED)'!$B65</f>
        <v>#DIV/0!</v>
      </c>
      <c r="L65" s="29" t="e">
        <f>'Sheet 3. Total Amounts '!L65/'Formula Calculations (LOCKED)'!B65</f>
        <v>#DIV/0!</v>
      </c>
      <c r="M65" s="29" t="e">
        <f>'Sheet 3. Total Amounts '!M65/'Formula Calculations (LOCKED)'!B65</f>
        <v>#DIV/0!</v>
      </c>
      <c r="N65" s="51" t="e">
        <f>'Sheet 3. Total Amounts '!N65/'Formula Calculations (LOCKED)'!B65</f>
        <v>#DIV/0!</v>
      </c>
    </row>
    <row r="66" spans="1:14" x14ac:dyDescent="0.2">
      <c r="A66" s="7">
        <f>'Sheet 2. County Level Data'!A64</f>
        <v>0</v>
      </c>
      <c r="B66" s="29" t="e">
        <f>'Sheet 3. Total Amounts '!B66/'Formula Calculations (LOCKED)'!B66</f>
        <v>#DIV/0!</v>
      </c>
      <c r="C66" s="52" t="e">
        <f>'Sheet 3. Total Amounts '!C66/'Formula Calculations (LOCKED)'!$B66</f>
        <v>#DIV/0!</v>
      </c>
      <c r="D66" s="52" t="e">
        <f>'Sheet 3. Total Amounts '!D66/'Formula Calculations (LOCKED)'!$B66</f>
        <v>#DIV/0!</v>
      </c>
      <c r="E66" s="52" t="e">
        <f>'Sheet 3. Total Amounts '!E66/'Formula Calculations (LOCKED)'!$B66</f>
        <v>#DIV/0!</v>
      </c>
      <c r="F66" s="52" t="e">
        <f>'Sheet 3. Total Amounts '!F66/'Formula Calculations (LOCKED)'!$B66</f>
        <v>#DIV/0!</v>
      </c>
      <c r="G66" s="52" t="e">
        <f>'Sheet 3. Total Amounts '!G66/'Formula Calculations (LOCKED)'!$B66</f>
        <v>#DIV/0!</v>
      </c>
      <c r="H66" s="52" t="e">
        <f>'Sheet 3. Total Amounts '!H66/'Formula Calculations (LOCKED)'!$B66</f>
        <v>#DIV/0!</v>
      </c>
      <c r="I66" s="52" t="e">
        <f>'Sheet 3. Total Amounts '!I66/'Formula Calculations (LOCKED)'!$B66</f>
        <v>#DIV/0!</v>
      </c>
      <c r="J66" s="52" t="e">
        <f>'Sheet 3. Total Amounts '!J66/'Formula Calculations (LOCKED)'!$B66</f>
        <v>#DIV/0!</v>
      </c>
      <c r="K66" s="52" t="e">
        <f>'Sheet 3. Total Amounts '!K66/'Formula Calculations (LOCKED)'!$B66</f>
        <v>#DIV/0!</v>
      </c>
      <c r="L66" s="29" t="e">
        <f>'Sheet 3. Total Amounts '!L66/'Formula Calculations (LOCKED)'!B66</f>
        <v>#DIV/0!</v>
      </c>
      <c r="M66" s="29" t="e">
        <f>'Sheet 3. Total Amounts '!M66/'Formula Calculations (LOCKED)'!B66</f>
        <v>#DIV/0!</v>
      </c>
      <c r="N66" s="51" t="e">
        <f>'Sheet 3. Total Amounts '!N66/'Formula Calculations (LOCKED)'!B66</f>
        <v>#DIV/0!</v>
      </c>
    </row>
    <row r="67" spans="1:14" x14ac:dyDescent="0.2">
      <c r="A67" s="7">
        <f>'Sheet 2. County Level Data'!A65</f>
        <v>0</v>
      </c>
      <c r="B67" s="29" t="e">
        <f>'Sheet 3. Total Amounts '!B67/'Formula Calculations (LOCKED)'!B67</f>
        <v>#DIV/0!</v>
      </c>
      <c r="C67" s="52" t="e">
        <f>'Sheet 3. Total Amounts '!C67/'Formula Calculations (LOCKED)'!$B67</f>
        <v>#DIV/0!</v>
      </c>
      <c r="D67" s="52" t="e">
        <f>'Sheet 3. Total Amounts '!D67/'Formula Calculations (LOCKED)'!$B67</f>
        <v>#DIV/0!</v>
      </c>
      <c r="E67" s="52" t="e">
        <f>'Sheet 3. Total Amounts '!E67/'Formula Calculations (LOCKED)'!$B67</f>
        <v>#DIV/0!</v>
      </c>
      <c r="F67" s="52" t="e">
        <f>'Sheet 3. Total Amounts '!F67/'Formula Calculations (LOCKED)'!$B67</f>
        <v>#DIV/0!</v>
      </c>
      <c r="G67" s="52" t="e">
        <f>'Sheet 3. Total Amounts '!G67/'Formula Calculations (LOCKED)'!$B67</f>
        <v>#DIV/0!</v>
      </c>
      <c r="H67" s="52" t="e">
        <f>'Sheet 3. Total Amounts '!H67/'Formula Calculations (LOCKED)'!$B67</f>
        <v>#DIV/0!</v>
      </c>
      <c r="I67" s="52" t="e">
        <f>'Sheet 3. Total Amounts '!I67/'Formula Calculations (LOCKED)'!$B67</f>
        <v>#DIV/0!</v>
      </c>
      <c r="J67" s="52" t="e">
        <f>'Sheet 3. Total Amounts '!J67/'Formula Calculations (LOCKED)'!$B67</f>
        <v>#DIV/0!</v>
      </c>
      <c r="K67" s="52" t="e">
        <f>'Sheet 3. Total Amounts '!K67/'Formula Calculations (LOCKED)'!$B67</f>
        <v>#DIV/0!</v>
      </c>
      <c r="L67" s="29" t="e">
        <f>'Sheet 3. Total Amounts '!L67/'Formula Calculations (LOCKED)'!B67</f>
        <v>#DIV/0!</v>
      </c>
      <c r="M67" s="29" t="e">
        <f>'Sheet 3. Total Amounts '!M67/'Formula Calculations (LOCKED)'!B67</f>
        <v>#DIV/0!</v>
      </c>
      <c r="N67" s="51" t="e">
        <f>'Sheet 3. Total Amounts '!N67/'Formula Calculations (LOCKED)'!B67</f>
        <v>#DIV/0!</v>
      </c>
    </row>
    <row r="68" spans="1:14" x14ac:dyDescent="0.2">
      <c r="A68" s="7">
        <f>'Sheet 2. County Level Data'!A66</f>
        <v>0</v>
      </c>
      <c r="B68" s="29" t="e">
        <f>'Sheet 3. Total Amounts '!B68/'Formula Calculations (LOCKED)'!B68</f>
        <v>#DIV/0!</v>
      </c>
      <c r="C68" s="52" t="e">
        <f>'Sheet 3. Total Amounts '!C68/'Formula Calculations (LOCKED)'!$B68</f>
        <v>#DIV/0!</v>
      </c>
      <c r="D68" s="52" t="e">
        <f>'Sheet 3. Total Amounts '!D68/'Formula Calculations (LOCKED)'!$B68</f>
        <v>#DIV/0!</v>
      </c>
      <c r="E68" s="52" t="e">
        <f>'Sheet 3. Total Amounts '!E68/'Formula Calculations (LOCKED)'!$B68</f>
        <v>#DIV/0!</v>
      </c>
      <c r="F68" s="52" t="e">
        <f>'Sheet 3. Total Amounts '!F68/'Formula Calculations (LOCKED)'!$B68</f>
        <v>#DIV/0!</v>
      </c>
      <c r="G68" s="52" t="e">
        <f>'Sheet 3. Total Amounts '!G68/'Formula Calculations (LOCKED)'!$B68</f>
        <v>#DIV/0!</v>
      </c>
      <c r="H68" s="52" t="e">
        <f>'Sheet 3. Total Amounts '!H68/'Formula Calculations (LOCKED)'!$B68</f>
        <v>#DIV/0!</v>
      </c>
      <c r="I68" s="52" t="e">
        <f>'Sheet 3. Total Amounts '!I68/'Formula Calculations (LOCKED)'!$B68</f>
        <v>#DIV/0!</v>
      </c>
      <c r="J68" s="52" t="e">
        <f>'Sheet 3. Total Amounts '!J68/'Formula Calculations (LOCKED)'!$B68</f>
        <v>#DIV/0!</v>
      </c>
      <c r="K68" s="52" t="e">
        <f>'Sheet 3. Total Amounts '!K68/'Formula Calculations (LOCKED)'!$B68</f>
        <v>#DIV/0!</v>
      </c>
      <c r="L68" s="29" t="e">
        <f>'Sheet 3. Total Amounts '!L68/'Formula Calculations (LOCKED)'!B68</f>
        <v>#DIV/0!</v>
      </c>
      <c r="M68" s="29" t="e">
        <f>'Sheet 3. Total Amounts '!M68/'Formula Calculations (LOCKED)'!B68</f>
        <v>#DIV/0!</v>
      </c>
      <c r="N68" s="51" t="e">
        <f>'Sheet 3. Total Amounts '!N68/'Formula Calculations (LOCKED)'!B68</f>
        <v>#DIV/0!</v>
      </c>
    </row>
    <row r="69" spans="1:14" x14ac:dyDescent="0.2">
      <c r="A69" s="7">
        <f>'Sheet 2. County Level Data'!A67</f>
        <v>0</v>
      </c>
      <c r="B69" s="29" t="e">
        <f>'Sheet 3. Total Amounts '!B69/'Formula Calculations (LOCKED)'!B69</f>
        <v>#DIV/0!</v>
      </c>
      <c r="C69" s="52" t="e">
        <f>'Sheet 3. Total Amounts '!C69/'Formula Calculations (LOCKED)'!$B69</f>
        <v>#DIV/0!</v>
      </c>
      <c r="D69" s="52" t="e">
        <f>'Sheet 3. Total Amounts '!D69/'Formula Calculations (LOCKED)'!$B69</f>
        <v>#DIV/0!</v>
      </c>
      <c r="E69" s="52" t="e">
        <f>'Sheet 3. Total Amounts '!E69/'Formula Calculations (LOCKED)'!$B69</f>
        <v>#DIV/0!</v>
      </c>
      <c r="F69" s="52" t="e">
        <f>'Sheet 3. Total Amounts '!F69/'Formula Calculations (LOCKED)'!$B69</f>
        <v>#DIV/0!</v>
      </c>
      <c r="G69" s="52" t="e">
        <f>'Sheet 3. Total Amounts '!G69/'Formula Calculations (LOCKED)'!$B69</f>
        <v>#DIV/0!</v>
      </c>
      <c r="H69" s="52" t="e">
        <f>'Sheet 3. Total Amounts '!H69/'Formula Calculations (LOCKED)'!$B69</f>
        <v>#DIV/0!</v>
      </c>
      <c r="I69" s="52" t="e">
        <f>'Sheet 3. Total Amounts '!I69/'Formula Calculations (LOCKED)'!$B69</f>
        <v>#DIV/0!</v>
      </c>
      <c r="J69" s="52" t="e">
        <f>'Sheet 3. Total Amounts '!J69/'Formula Calculations (LOCKED)'!$B69</f>
        <v>#DIV/0!</v>
      </c>
      <c r="K69" s="52" t="e">
        <f>'Sheet 3. Total Amounts '!K69/'Formula Calculations (LOCKED)'!$B69</f>
        <v>#DIV/0!</v>
      </c>
      <c r="L69" s="29" t="e">
        <f>'Sheet 3. Total Amounts '!L69/'Formula Calculations (LOCKED)'!B69</f>
        <v>#DIV/0!</v>
      </c>
      <c r="M69" s="29" t="e">
        <f>'Sheet 3. Total Amounts '!M69/'Formula Calculations (LOCKED)'!B69</f>
        <v>#DIV/0!</v>
      </c>
      <c r="N69" s="51" t="e">
        <f>'Sheet 3. Total Amounts '!N69/'Formula Calculations (LOCKED)'!B69</f>
        <v>#DIV/0!</v>
      </c>
    </row>
    <row r="70" spans="1:14" x14ac:dyDescent="0.2">
      <c r="A70" s="7">
        <f>'Sheet 2. County Level Data'!A68</f>
        <v>0</v>
      </c>
      <c r="B70" s="29" t="e">
        <f>'Sheet 3. Total Amounts '!B70/'Formula Calculations (LOCKED)'!B70</f>
        <v>#DIV/0!</v>
      </c>
      <c r="C70" s="52" t="e">
        <f>'Sheet 3. Total Amounts '!C70/'Formula Calculations (LOCKED)'!$B70</f>
        <v>#DIV/0!</v>
      </c>
      <c r="D70" s="52" t="e">
        <f>'Sheet 3. Total Amounts '!D70/'Formula Calculations (LOCKED)'!$B70</f>
        <v>#DIV/0!</v>
      </c>
      <c r="E70" s="52" t="e">
        <f>'Sheet 3. Total Amounts '!E70/'Formula Calculations (LOCKED)'!$B70</f>
        <v>#DIV/0!</v>
      </c>
      <c r="F70" s="52" t="e">
        <f>'Sheet 3. Total Amounts '!F70/'Formula Calculations (LOCKED)'!$B70</f>
        <v>#DIV/0!</v>
      </c>
      <c r="G70" s="52" t="e">
        <f>'Sheet 3. Total Amounts '!G70/'Formula Calculations (LOCKED)'!$B70</f>
        <v>#DIV/0!</v>
      </c>
      <c r="H70" s="52" t="e">
        <f>'Sheet 3. Total Amounts '!H70/'Formula Calculations (LOCKED)'!$B70</f>
        <v>#DIV/0!</v>
      </c>
      <c r="I70" s="52" t="e">
        <f>'Sheet 3. Total Amounts '!I70/'Formula Calculations (LOCKED)'!$B70</f>
        <v>#DIV/0!</v>
      </c>
      <c r="J70" s="52" t="e">
        <f>'Sheet 3. Total Amounts '!J70/'Formula Calculations (LOCKED)'!$B70</f>
        <v>#DIV/0!</v>
      </c>
      <c r="K70" s="52" t="e">
        <f>'Sheet 3. Total Amounts '!K70/'Formula Calculations (LOCKED)'!$B70</f>
        <v>#DIV/0!</v>
      </c>
      <c r="L70" s="29" t="e">
        <f>'Sheet 3. Total Amounts '!L70/'Formula Calculations (LOCKED)'!B70</f>
        <v>#DIV/0!</v>
      </c>
      <c r="M70" s="29" t="e">
        <f>'Sheet 3. Total Amounts '!M70/'Formula Calculations (LOCKED)'!B70</f>
        <v>#DIV/0!</v>
      </c>
      <c r="N70" s="51" t="e">
        <f>'Sheet 3. Total Amounts '!N70/'Formula Calculations (LOCKED)'!B70</f>
        <v>#DIV/0!</v>
      </c>
    </row>
    <row r="71" spans="1:14" x14ac:dyDescent="0.2">
      <c r="A71" s="7">
        <f>'Sheet 2. County Level Data'!A69</f>
        <v>0</v>
      </c>
      <c r="B71" s="29" t="e">
        <f>'Sheet 3. Total Amounts '!B71/'Formula Calculations (LOCKED)'!B71</f>
        <v>#DIV/0!</v>
      </c>
      <c r="C71" s="52" t="e">
        <f>'Sheet 3. Total Amounts '!C71/'Formula Calculations (LOCKED)'!$B71</f>
        <v>#DIV/0!</v>
      </c>
      <c r="D71" s="52" t="e">
        <f>'Sheet 3. Total Amounts '!D71/'Formula Calculations (LOCKED)'!$B71</f>
        <v>#DIV/0!</v>
      </c>
      <c r="E71" s="52" t="e">
        <f>'Sheet 3. Total Amounts '!E71/'Formula Calculations (LOCKED)'!$B71</f>
        <v>#DIV/0!</v>
      </c>
      <c r="F71" s="52" t="e">
        <f>'Sheet 3. Total Amounts '!F71/'Formula Calculations (LOCKED)'!$B71</f>
        <v>#DIV/0!</v>
      </c>
      <c r="G71" s="52" t="e">
        <f>'Sheet 3. Total Amounts '!G71/'Formula Calculations (LOCKED)'!$B71</f>
        <v>#DIV/0!</v>
      </c>
      <c r="H71" s="52" t="e">
        <f>'Sheet 3. Total Amounts '!H71/'Formula Calculations (LOCKED)'!$B71</f>
        <v>#DIV/0!</v>
      </c>
      <c r="I71" s="52" t="e">
        <f>'Sheet 3. Total Amounts '!I71/'Formula Calculations (LOCKED)'!$B71</f>
        <v>#DIV/0!</v>
      </c>
      <c r="J71" s="52" t="e">
        <f>'Sheet 3. Total Amounts '!J71/'Formula Calculations (LOCKED)'!$B71</f>
        <v>#DIV/0!</v>
      </c>
      <c r="K71" s="52" t="e">
        <f>'Sheet 3. Total Amounts '!K71/'Formula Calculations (LOCKED)'!$B71</f>
        <v>#DIV/0!</v>
      </c>
      <c r="L71" s="29" t="e">
        <f>'Sheet 3. Total Amounts '!L71/'Formula Calculations (LOCKED)'!B71</f>
        <v>#DIV/0!</v>
      </c>
      <c r="M71" s="29" t="e">
        <f>'Sheet 3. Total Amounts '!M71/'Formula Calculations (LOCKED)'!B71</f>
        <v>#DIV/0!</v>
      </c>
      <c r="N71" s="51" t="e">
        <f>'Sheet 3. Total Amounts '!N71/'Formula Calculations (LOCKED)'!B71</f>
        <v>#DIV/0!</v>
      </c>
    </row>
    <row r="72" spans="1:14" x14ac:dyDescent="0.2">
      <c r="A72" s="7">
        <f>'Sheet 2. County Level Data'!A70</f>
        <v>0</v>
      </c>
      <c r="B72" s="29" t="e">
        <f>'Sheet 3. Total Amounts '!B72/'Formula Calculations (LOCKED)'!B72</f>
        <v>#DIV/0!</v>
      </c>
      <c r="C72" s="52" t="e">
        <f>'Sheet 3. Total Amounts '!C72/'Formula Calculations (LOCKED)'!$B72</f>
        <v>#DIV/0!</v>
      </c>
      <c r="D72" s="52" t="e">
        <f>'Sheet 3. Total Amounts '!D72/'Formula Calculations (LOCKED)'!$B72</f>
        <v>#DIV/0!</v>
      </c>
      <c r="E72" s="52" t="e">
        <f>'Sheet 3. Total Amounts '!E72/'Formula Calculations (LOCKED)'!$B72</f>
        <v>#DIV/0!</v>
      </c>
      <c r="F72" s="52" t="e">
        <f>'Sheet 3. Total Amounts '!F72/'Formula Calculations (LOCKED)'!$B72</f>
        <v>#DIV/0!</v>
      </c>
      <c r="G72" s="52" t="e">
        <f>'Sheet 3. Total Amounts '!G72/'Formula Calculations (LOCKED)'!$B72</f>
        <v>#DIV/0!</v>
      </c>
      <c r="H72" s="52" t="e">
        <f>'Sheet 3. Total Amounts '!H72/'Formula Calculations (LOCKED)'!$B72</f>
        <v>#DIV/0!</v>
      </c>
      <c r="I72" s="52" t="e">
        <f>'Sheet 3. Total Amounts '!I72/'Formula Calculations (LOCKED)'!$B72</f>
        <v>#DIV/0!</v>
      </c>
      <c r="J72" s="52" t="e">
        <f>'Sheet 3. Total Amounts '!J72/'Formula Calculations (LOCKED)'!$B72</f>
        <v>#DIV/0!</v>
      </c>
      <c r="K72" s="52" t="e">
        <f>'Sheet 3. Total Amounts '!K72/'Formula Calculations (LOCKED)'!$B72</f>
        <v>#DIV/0!</v>
      </c>
      <c r="L72" s="29" t="e">
        <f>'Sheet 3. Total Amounts '!L72/'Formula Calculations (LOCKED)'!B72</f>
        <v>#DIV/0!</v>
      </c>
      <c r="M72" s="29" t="e">
        <f>'Sheet 3. Total Amounts '!M72/'Formula Calculations (LOCKED)'!B72</f>
        <v>#DIV/0!</v>
      </c>
      <c r="N72" s="51" t="e">
        <f>'Sheet 3. Total Amounts '!N72/'Formula Calculations (LOCKED)'!B72</f>
        <v>#DIV/0!</v>
      </c>
    </row>
    <row r="73" spans="1:14" x14ac:dyDescent="0.2">
      <c r="A73" s="7">
        <f>'Sheet 2. County Level Data'!A71</f>
        <v>0</v>
      </c>
      <c r="B73" s="29" t="e">
        <f>'Sheet 3. Total Amounts '!B73/'Formula Calculations (LOCKED)'!B73</f>
        <v>#DIV/0!</v>
      </c>
      <c r="C73" s="52" t="e">
        <f>'Sheet 3. Total Amounts '!C73/'Formula Calculations (LOCKED)'!$B73</f>
        <v>#DIV/0!</v>
      </c>
      <c r="D73" s="52" t="e">
        <f>'Sheet 3. Total Amounts '!D73/'Formula Calculations (LOCKED)'!$B73</f>
        <v>#DIV/0!</v>
      </c>
      <c r="E73" s="52" t="e">
        <f>'Sheet 3. Total Amounts '!E73/'Formula Calculations (LOCKED)'!$B73</f>
        <v>#DIV/0!</v>
      </c>
      <c r="F73" s="52" t="e">
        <f>'Sheet 3. Total Amounts '!F73/'Formula Calculations (LOCKED)'!$B73</f>
        <v>#DIV/0!</v>
      </c>
      <c r="G73" s="52" t="e">
        <f>'Sheet 3. Total Amounts '!G73/'Formula Calculations (LOCKED)'!$B73</f>
        <v>#DIV/0!</v>
      </c>
      <c r="H73" s="52" t="e">
        <f>'Sheet 3. Total Amounts '!H73/'Formula Calculations (LOCKED)'!$B73</f>
        <v>#DIV/0!</v>
      </c>
      <c r="I73" s="52" t="e">
        <f>'Sheet 3. Total Amounts '!I73/'Formula Calculations (LOCKED)'!$B73</f>
        <v>#DIV/0!</v>
      </c>
      <c r="J73" s="52" t="e">
        <f>'Sheet 3. Total Amounts '!J73/'Formula Calculations (LOCKED)'!$B73</f>
        <v>#DIV/0!</v>
      </c>
      <c r="K73" s="52" t="e">
        <f>'Sheet 3. Total Amounts '!K73/'Formula Calculations (LOCKED)'!$B73</f>
        <v>#DIV/0!</v>
      </c>
      <c r="L73" s="29" t="e">
        <f>'Sheet 3. Total Amounts '!L73/'Formula Calculations (LOCKED)'!B73</f>
        <v>#DIV/0!</v>
      </c>
      <c r="M73" s="29" t="e">
        <f>'Sheet 3. Total Amounts '!M73/'Formula Calculations (LOCKED)'!B73</f>
        <v>#DIV/0!</v>
      </c>
      <c r="N73" s="51" t="e">
        <f>'Sheet 3. Total Amounts '!N73/'Formula Calculations (LOCKED)'!B73</f>
        <v>#DIV/0!</v>
      </c>
    </row>
    <row r="74" spans="1:14" x14ac:dyDescent="0.2">
      <c r="A74" s="7">
        <f>'Sheet 2. County Level Data'!A72</f>
        <v>0</v>
      </c>
      <c r="B74" s="29" t="e">
        <f>'Sheet 3. Total Amounts '!B74/'Formula Calculations (LOCKED)'!B74</f>
        <v>#DIV/0!</v>
      </c>
      <c r="C74" s="52" t="e">
        <f>'Sheet 3. Total Amounts '!C74/'Formula Calculations (LOCKED)'!$B74</f>
        <v>#DIV/0!</v>
      </c>
      <c r="D74" s="52" t="e">
        <f>'Sheet 3. Total Amounts '!D74/'Formula Calculations (LOCKED)'!$B74</f>
        <v>#DIV/0!</v>
      </c>
      <c r="E74" s="52" t="e">
        <f>'Sheet 3. Total Amounts '!E74/'Formula Calculations (LOCKED)'!$B74</f>
        <v>#DIV/0!</v>
      </c>
      <c r="F74" s="52" t="e">
        <f>'Sheet 3. Total Amounts '!F74/'Formula Calculations (LOCKED)'!$B74</f>
        <v>#DIV/0!</v>
      </c>
      <c r="G74" s="52" t="e">
        <f>'Sheet 3. Total Amounts '!G74/'Formula Calculations (LOCKED)'!$B74</f>
        <v>#DIV/0!</v>
      </c>
      <c r="H74" s="52" t="e">
        <f>'Sheet 3. Total Amounts '!H74/'Formula Calculations (LOCKED)'!$B74</f>
        <v>#DIV/0!</v>
      </c>
      <c r="I74" s="52" t="e">
        <f>'Sheet 3. Total Amounts '!I74/'Formula Calculations (LOCKED)'!$B74</f>
        <v>#DIV/0!</v>
      </c>
      <c r="J74" s="52" t="e">
        <f>'Sheet 3. Total Amounts '!J74/'Formula Calculations (LOCKED)'!$B74</f>
        <v>#DIV/0!</v>
      </c>
      <c r="K74" s="52" t="e">
        <f>'Sheet 3. Total Amounts '!K74/'Formula Calculations (LOCKED)'!$B74</f>
        <v>#DIV/0!</v>
      </c>
      <c r="L74" s="29" t="e">
        <f>'Sheet 3. Total Amounts '!L74/'Formula Calculations (LOCKED)'!B74</f>
        <v>#DIV/0!</v>
      </c>
      <c r="M74" s="29" t="e">
        <f>'Sheet 3. Total Amounts '!M74/'Formula Calculations (LOCKED)'!B74</f>
        <v>#DIV/0!</v>
      </c>
      <c r="N74" s="51" t="e">
        <f>'Sheet 3. Total Amounts '!N74/'Formula Calculations (LOCKED)'!B74</f>
        <v>#DIV/0!</v>
      </c>
    </row>
    <row r="75" spans="1:14" x14ac:dyDescent="0.2">
      <c r="A75" s="7">
        <f>'Sheet 2. County Level Data'!A73</f>
        <v>0</v>
      </c>
      <c r="B75" s="29" t="e">
        <f>'Sheet 3. Total Amounts '!B75/'Formula Calculations (LOCKED)'!B75</f>
        <v>#DIV/0!</v>
      </c>
      <c r="C75" s="52" t="e">
        <f>'Sheet 3. Total Amounts '!C75/'Formula Calculations (LOCKED)'!$B75</f>
        <v>#DIV/0!</v>
      </c>
      <c r="D75" s="52" t="e">
        <f>'Sheet 3. Total Amounts '!D75/'Formula Calculations (LOCKED)'!$B75</f>
        <v>#DIV/0!</v>
      </c>
      <c r="E75" s="52" t="e">
        <f>'Sheet 3. Total Amounts '!E75/'Formula Calculations (LOCKED)'!$B75</f>
        <v>#DIV/0!</v>
      </c>
      <c r="F75" s="52" t="e">
        <f>'Sheet 3. Total Amounts '!F75/'Formula Calculations (LOCKED)'!$B75</f>
        <v>#DIV/0!</v>
      </c>
      <c r="G75" s="52" t="e">
        <f>'Sheet 3. Total Amounts '!G75/'Formula Calculations (LOCKED)'!$B75</f>
        <v>#DIV/0!</v>
      </c>
      <c r="H75" s="52" t="e">
        <f>'Sheet 3. Total Amounts '!H75/'Formula Calculations (LOCKED)'!$B75</f>
        <v>#DIV/0!</v>
      </c>
      <c r="I75" s="52" t="e">
        <f>'Sheet 3. Total Amounts '!I75/'Formula Calculations (LOCKED)'!$B75</f>
        <v>#DIV/0!</v>
      </c>
      <c r="J75" s="52" t="e">
        <f>'Sheet 3. Total Amounts '!J75/'Formula Calculations (LOCKED)'!$B75</f>
        <v>#DIV/0!</v>
      </c>
      <c r="K75" s="52" t="e">
        <f>'Sheet 3. Total Amounts '!K75/'Formula Calculations (LOCKED)'!$B75</f>
        <v>#DIV/0!</v>
      </c>
      <c r="L75" s="29" t="e">
        <f>'Sheet 3. Total Amounts '!L75/'Formula Calculations (LOCKED)'!B75</f>
        <v>#DIV/0!</v>
      </c>
      <c r="M75" s="29" t="e">
        <f>'Sheet 3. Total Amounts '!M75/'Formula Calculations (LOCKED)'!B75</f>
        <v>#DIV/0!</v>
      </c>
      <c r="N75" s="51" t="e">
        <f>'Sheet 3. Total Amounts '!N75/'Formula Calculations (LOCKED)'!B75</f>
        <v>#DIV/0!</v>
      </c>
    </row>
    <row r="76" spans="1:14" x14ac:dyDescent="0.2">
      <c r="A76" s="7">
        <f>'Sheet 2. County Level Data'!A74</f>
        <v>0</v>
      </c>
      <c r="B76" s="29" t="e">
        <f>'Sheet 3. Total Amounts '!B76/'Formula Calculations (LOCKED)'!B76</f>
        <v>#DIV/0!</v>
      </c>
      <c r="C76" s="52" t="e">
        <f>'Sheet 3. Total Amounts '!C76/'Formula Calculations (LOCKED)'!$B76</f>
        <v>#DIV/0!</v>
      </c>
      <c r="D76" s="52" t="e">
        <f>'Sheet 3. Total Amounts '!D76/'Formula Calculations (LOCKED)'!$B76</f>
        <v>#DIV/0!</v>
      </c>
      <c r="E76" s="52" t="e">
        <f>'Sheet 3. Total Amounts '!E76/'Formula Calculations (LOCKED)'!$B76</f>
        <v>#DIV/0!</v>
      </c>
      <c r="F76" s="52" t="e">
        <f>'Sheet 3. Total Amounts '!F76/'Formula Calculations (LOCKED)'!$B76</f>
        <v>#DIV/0!</v>
      </c>
      <c r="G76" s="52" t="e">
        <f>'Sheet 3. Total Amounts '!G76/'Formula Calculations (LOCKED)'!$B76</f>
        <v>#DIV/0!</v>
      </c>
      <c r="H76" s="52" t="e">
        <f>'Sheet 3. Total Amounts '!H76/'Formula Calculations (LOCKED)'!$B76</f>
        <v>#DIV/0!</v>
      </c>
      <c r="I76" s="52" t="e">
        <f>'Sheet 3. Total Amounts '!I76/'Formula Calculations (LOCKED)'!$B76</f>
        <v>#DIV/0!</v>
      </c>
      <c r="J76" s="52" t="e">
        <f>'Sheet 3. Total Amounts '!J76/'Formula Calculations (LOCKED)'!$B76</f>
        <v>#DIV/0!</v>
      </c>
      <c r="K76" s="52" t="e">
        <f>'Sheet 3. Total Amounts '!K76/'Formula Calculations (LOCKED)'!$B76</f>
        <v>#DIV/0!</v>
      </c>
      <c r="L76" s="29" t="e">
        <f>'Sheet 3. Total Amounts '!L76/'Formula Calculations (LOCKED)'!B76</f>
        <v>#DIV/0!</v>
      </c>
      <c r="M76" s="29" t="e">
        <f>'Sheet 3. Total Amounts '!M76/'Formula Calculations (LOCKED)'!B76</f>
        <v>#DIV/0!</v>
      </c>
      <c r="N76" s="51" t="e">
        <f>'Sheet 3. Total Amounts '!N76/'Formula Calculations (LOCKED)'!B76</f>
        <v>#DIV/0!</v>
      </c>
    </row>
    <row r="77" spans="1:14" x14ac:dyDescent="0.2">
      <c r="A77" s="7">
        <f>'Sheet 2. County Level Data'!A75</f>
        <v>0</v>
      </c>
      <c r="B77" s="29" t="e">
        <f>'Sheet 3. Total Amounts '!B77/'Formula Calculations (LOCKED)'!B77</f>
        <v>#DIV/0!</v>
      </c>
      <c r="C77" s="52" t="e">
        <f>'Sheet 3. Total Amounts '!C77/'Formula Calculations (LOCKED)'!$B77</f>
        <v>#DIV/0!</v>
      </c>
      <c r="D77" s="52" t="e">
        <f>'Sheet 3. Total Amounts '!D77/'Formula Calculations (LOCKED)'!$B77</f>
        <v>#DIV/0!</v>
      </c>
      <c r="E77" s="52" t="e">
        <f>'Sheet 3. Total Amounts '!E77/'Formula Calculations (LOCKED)'!$B77</f>
        <v>#DIV/0!</v>
      </c>
      <c r="F77" s="52" t="e">
        <f>'Sheet 3. Total Amounts '!F77/'Formula Calculations (LOCKED)'!$B77</f>
        <v>#DIV/0!</v>
      </c>
      <c r="G77" s="52" t="e">
        <f>'Sheet 3. Total Amounts '!G77/'Formula Calculations (LOCKED)'!$B77</f>
        <v>#DIV/0!</v>
      </c>
      <c r="H77" s="52" t="e">
        <f>'Sheet 3. Total Amounts '!H77/'Formula Calculations (LOCKED)'!$B77</f>
        <v>#DIV/0!</v>
      </c>
      <c r="I77" s="52" t="e">
        <f>'Sheet 3. Total Amounts '!I77/'Formula Calculations (LOCKED)'!$B77</f>
        <v>#DIV/0!</v>
      </c>
      <c r="J77" s="52" t="e">
        <f>'Sheet 3. Total Amounts '!J77/'Formula Calculations (LOCKED)'!$B77</f>
        <v>#DIV/0!</v>
      </c>
      <c r="K77" s="52" t="e">
        <f>'Sheet 3. Total Amounts '!K77/'Formula Calculations (LOCKED)'!$B77</f>
        <v>#DIV/0!</v>
      </c>
      <c r="L77" s="29" t="e">
        <f>'Sheet 3. Total Amounts '!L77/'Formula Calculations (LOCKED)'!B77</f>
        <v>#DIV/0!</v>
      </c>
      <c r="M77" s="29" t="e">
        <f>'Sheet 3. Total Amounts '!M77/'Formula Calculations (LOCKED)'!B77</f>
        <v>#DIV/0!</v>
      </c>
      <c r="N77" s="51" t="e">
        <f>'Sheet 3. Total Amounts '!N77/'Formula Calculations (LOCKED)'!B77</f>
        <v>#DIV/0!</v>
      </c>
    </row>
    <row r="78" spans="1:14" x14ac:dyDescent="0.2">
      <c r="A78" s="7">
        <f>'Sheet 2. County Level Data'!A76</f>
        <v>0</v>
      </c>
      <c r="B78" s="29" t="e">
        <f>'Sheet 3. Total Amounts '!B78/'Formula Calculations (LOCKED)'!B78</f>
        <v>#DIV/0!</v>
      </c>
      <c r="C78" s="52" t="e">
        <f>'Sheet 3. Total Amounts '!C78/'Formula Calculations (LOCKED)'!$B78</f>
        <v>#DIV/0!</v>
      </c>
      <c r="D78" s="52" t="e">
        <f>'Sheet 3. Total Amounts '!D78/'Formula Calculations (LOCKED)'!$B78</f>
        <v>#DIV/0!</v>
      </c>
      <c r="E78" s="52" t="e">
        <f>'Sheet 3. Total Amounts '!E78/'Formula Calculations (LOCKED)'!$B78</f>
        <v>#DIV/0!</v>
      </c>
      <c r="F78" s="52" t="e">
        <f>'Sheet 3. Total Amounts '!F78/'Formula Calculations (LOCKED)'!$B78</f>
        <v>#DIV/0!</v>
      </c>
      <c r="G78" s="52" t="e">
        <f>'Sheet 3. Total Amounts '!G78/'Formula Calculations (LOCKED)'!$B78</f>
        <v>#DIV/0!</v>
      </c>
      <c r="H78" s="52" t="e">
        <f>'Sheet 3. Total Amounts '!H78/'Formula Calculations (LOCKED)'!$B78</f>
        <v>#DIV/0!</v>
      </c>
      <c r="I78" s="52" t="e">
        <f>'Sheet 3. Total Amounts '!I78/'Formula Calculations (LOCKED)'!$B78</f>
        <v>#DIV/0!</v>
      </c>
      <c r="J78" s="52" t="e">
        <f>'Sheet 3. Total Amounts '!J78/'Formula Calculations (LOCKED)'!$B78</f>
        <v>#DIV/0!</v>
      </c>
      <c r="K78" s="52" t="e">
        <f>'Sheet 3. Total Amounts '!K78/'Formula Calculations (LOCKED)'!$B78</f>
        <v>#DIV/0!</v>
      </c>
      <c r="L78" s="29" t="e">
        <f>'Sheet 3. Total Amounts '!L78/'Formula Calculations (LOCKED)'!B78</f>
        <v>#DIV/0!</v>
      </c>
      <c r="M78" s="29" t="e">
        <f>'Sheet 3. Total Amounts '!M78/'Formula Calculations (LOCKED)'!B78</f>
        <v>#DIV/0!</v>
      </c>
      <c r="N78" s="51" t="e">
        <f>'Sheet 3. Total Amounts '!N78/'Formula Calculations (LOCKED)'!B78</f>
        <v>#DIV/0!</v>
      </c>
    </row>
    <row r="79" spans="1:14" x14ac:dyDescent="0.2">
      <c r="A79" s="7">
        <f>'Sheet 2. County Level Data'!A77</f>
        <v>0</v>
      </c>
      <c r="B79" s="29" t="e">
        <f>'Sheet 3. Total Amounts '!B79/'Formula Calculations (LOCKED)'!B79</f>
        <v>#DIV/0!</v>
      </c>
      <c r="C79" s="52" t="e">
        <f>'Sheet 3. Total Amounts '!C79/'Formula Calculations (LOCKED)'!$B79</f>
        <v>#DIV/0!</v>
      </c>
      <c r="D79" s="52" t="e">
        <f>'Sheet 3. Total Amounts '!D79/'Formula Calculations (LOCKED)'!$B79</f>
        <v>#DIV/0!</v>
      </c>
      <c r="E79" s="52" t="e">
        <f>'Sheet 3. Total Amounts '!E79/'Formula Calculations (LOCKED)'!$B79</f>
        <v>#DIV/0!</v>
      </c>
      <c r="F79" s="52" t="e">
        <f>'Sheet 3. Total Amounts '!F79/'Formula Calculations (LOCKED)'!$B79</f>
        <v>#DIV/0!</v>
      </c>
      <c r="G79" s="52" t="e">
        <f>'Sheet 3. Total Amounts '!G79/'Formula Calculations (LOCKED)'!$B79</f>
        <v>#DIV/0!</v>
      </c>
      <c r="H79" s="52" t="e">
        <f>'Sheet 3. Total Amounts '!H79/'Formula Calculations (LOCKED)'!$B79</f>
        <v>#DIV/0!</v>
      </c>
      <c r="I79" s="52" t="e">
        <f>'Sheet 3. Total Amounts '!I79/'Formula Calculations (LOCKED)'!$B79</f>
        <v>#DIV/0!</v>
      </c>
      <c r="J79" s="52" t="e">
        <f>'Sheet 3. Total Amounts '!J79/'Formula Calculations (LOCKED)'!$B79</f>
        <v>#DIV/0!</v>
      </c>
      <c r="K79" s="52" t="e">
        <f>'Sheet 3. Total Amounts '!K79/'Formula Calculations (LOCKED)'!$B79</f>
        <v>#DIV/0!</v>
      </c>
      <c r="L79" s="29" t="e">
        <f>'Sheet 3. Total Amounts '!L79/'Formula Calculations (LOCKED)'!B79</f>
        <v>#DIV/0!</v>
      </c>
      <c r="M79" s="29" t="e">
        <f>'Sheet 3. Total Amounts '!M79/'Formula Calculations (LOCKED)'!B79</f>
        <v>#DIV/0!</v>
      </c>
      <c r="N79" s="51" t="e">
        <f>'Sheet 3. Total Amounts '!N79/'Formula Calculations (LOCKED)'!B79</f>
        <v>#DIV/0!</v>
      </c>
    </row>
    <row r="80" spans="1:14" x14ac:dyDescent="0.2">
      <c r="A80" s="7">
        <f>'Sheet 2. County Level Data'!A78</f>
        <v>0</v>
      </c>
      <c r="B80" s="29" t="e">
        <f>'Sheet 3. Total Amounts '!B80/'Formula Calculations (LOCKED)'!B80</f>
        <v>#DIV/0!</v>
      </c>
      <c r="C80" s="52" t="e">
        <f>'Sheet 3. Total Amounts '!C80/'Formula Calculations (LOCKED)'!$B80</f>
        <v>#DIV/0!</v>
      </c>
      <c r="D80" s="52" t="e">
        <f>'Sheet 3. Total Amounts '!D80/'Formula Calculations (LOCKED)'!$B80</f>
        <v>#DIV/0!</v>
      </c>
      <c r="E80" s="52" t="e">
        <f>'Sheet 3. Total Amounts '!E80/'Formula Calculations (LOCKED)'!$B80</f>
        <v>#DIV/0!</v>
      </c>
      <c r="F80" s="52" t="e">
        <f>'Sheet 3. Total Amounts '!F80/'Formula Calculations (LOCKED)'!$B80</f>
        <v>#DIV/0!</v>
      </c>
      <c r="G80" s="52" t="e">
        <f>'Sheet 3. Total Amounts '!G80/'Formula Calculations (LOCKED)'!$B80</f>
        <v>#DIV/0!</v>
      </c>
      <c r="H80" s="52" t="e">
        <f>'Sheet 3. Total Amounts '!H80/'Formula Calculations (LOCKED)'!$B80</f>
        <v>#DIV/0!</v>
      </c>
      <c r="I80" s="52" t="e">
        <f>'Sheet 3. Total Amounts '!I80/'Formula Calculations (LOCKED)'!$B80</f>
        <v>#DIV/0!</v>
      </c>
      <c r="J80" s="52" t="e">
        <f>'Sheet 3. Total Amounts '!J80/'Formula Calculations (LOCKED)'!$B80</f>
        <v>#DIV/0!</v>
      </c>
      <c r="K80" s="52" t="e">
        <f>'Sheet 3. Total Amounts '!K80/'Formula Calculations (LOCKED)'!$B80</f>
        <v>#DIV/0!</v>
      </c>
      <c r="L80" s="29" t="e">
        <f>'Sheet 3. Total Amounts '!L80/'Formula Calculations (LOCKED)'!B80</f>
        <v>#DIV/0!</v>
      </c>
      <c r="M80" s="29" t="e">
        <f>'Sheet 3. Total Amounts '!M80/'Formula Calculations (LOCKED)'!B80</f>
        <v>#DIV/0!</v>
      </c>
      <c r="N80" s="51" t="e">
        <f>'Sheet 3. Total Amounts '!N80/'Formula Calculations (LOCKED)'!B80</f>
        <v>#DIV/0!</v>
      </c>
    </row>
    <row r="81" spans="1:14" x14ac:dyDescent="0.2">
      <c r="A81" s="7">
        <f>'Sheet 2. County Level Data'!A79</f>
        <v>0</v>
      </c>
      <c r="B81" s="29" t="e">
        <f>'Sheet 3. Total Amounts '!B81/'Formula Calculations (LOCKED)'!B81</f>
        <v>#DIV/0!</v>
      </c>
      <c r="C81" s="52" t="e">
        <f>'Sheet 3. Total Amounts '!C81/'Formula Calculations (LOCKED)'!$B81</f>
        <v>#DIV/0!</v>
      </c>
      <c r="D81" s="52" t="e">
        <f>'Sheet 3. Total Amounts '!D81/'Formula Calculations (LOCKED)'!$B81</f>
        <v>#DIV/0!</v>
      </c>
      <c r="E81" s="52" t="e">
        <f>'Sheet 3. Total Amounts '!E81/'Formula Calculations (LOCKED)'!$B81</f>
        <v>#DIV/0!</v>
      </c>
      <c r="F81" s="52" t="e">
        <f>'Sheet 3. Total Amounts '!F81/'Formula Calculations (LOCKED)'!$B81</f>
        <v>#DIV/0!</v>
      </c>
      <c r="G81" s="52" t="e">
        <f>'Sheet 3. Total Amounts '!G81/'Formula Calculations (LOCKED)'!$B81</f>
        <v>#DIV/0!</v>
      </c>
      <c r="H81" s="52" t="e">
        <f>'Sheet 3. Total Amounts '!H81/'Formula Calculations (LOCKED)'!$B81</f>
        <v>#DIV/0!</v>
      </c>
      <c r="I81" s="52" t="e">
        <f>'Sheet 3. Total Amounts '!I81/'Formula Calculations (LOCKED)'!$B81</f>
        <v>#DIV/0!</v>
      </c>
      <c r="J81" s="52" t="e">
        <f>'Sheet 3. Total Amounts '!J81/'Formula Calculations (LOCKED)'!$B81</f>
        <v>#DIV/0!</v>
      </c>
      <c r="K81" s="52" t="e">
        <f>'Sheet 3. Total Amounts '!K81/'Formula Calculations (LOCKED)'!$B81</f>
        <v>#DIV/0!</v>
      </c>
      <c r="L81" s="29" t="e">
        <f>'Sheet 3. Total Amounts '!L81/'Formula Calculations (LOCKED)'!B81</f>
        <v>#DIV/0!</v>
      </c>
      <c r="M81" s="29" t="e">
        <f>'Sheet 3. Total Amounts '!M81/'Formula Calculations (LOCKED)'!B81</f>
        <v>#DIV/0!</v>
      </c>
      <c r="N81" s="51" t="e">
        <f>'Sheet 3. Total Amounts '!N81/'Formula Calculations (LOCKED)'!B81</f>
        <v>#DIV/0!</v>
      </c>
    </row>
    <row r="82" spans="1:14" x14ac:dyDescent="0.2">
      <c r="A82" s="7">
        <f>'Sheet 2. County Level Data'!A80</f>
        <v>0</v>
      </c>
      <c r="B82" s="29" t="e">
        <f>'Sheet 3. Total Amounts '!B82/'Formula Calculations (LOCKED)'!B82</f>
        <v>#DIV/0!</v>
      </c>
      <c r="C82" s="52" t="e">
        <f>'Sheet 3. Total Amounts '!C82/'Formula Calculations (LOCKED)'!$B82</f>
        <v>#DIV/0!</v>
      </c>
      <c r="D82" s="52" t="e">
        <f>'Sheet 3. Total Amounts '!D82/'Formula Calculations (LOCKED)'!$B82</f>
        <v>#DIV/0!</v>
      </c>
      <c r="E82" s="52" t="e">
        <f>'Sheet 3. Total Amounts '!E82/'Formula Calculations (LOCKED)'!$B82</f>
        <v>#DIV/0!</v>
      </c>
      <c r="F82" s="52" t="e">
        <f>'Sheet 3. Total Amounts '!F82/'Formula Calculations (LOCKED)'!$B82</f>
        <v>#DIV/0!</v>
      </c>
      <c r="G82" s="52" t="e">
        <f>'Sheet 3. Total Amounts '!G82/'Formula Calculations (LOCKED)'!$B82</f>
        <v>#DIV/0!</v>
      </c>
      <c r="H82" s="52" t="e">
        <f>'Sheet 3. Total Amounts '!H82/'Formula Calculations (LOCKED)'!$B82</f>
        <v>#DIV/0!</v>
      </c>
      <c r="I82" s="52" t="e">
        <f>'Sheet 3. Total Amounts '!I82/'Formula Calculations (LOCKED)'!$B82</f>
        <v>#DIV/0!</v>
      </c>
      <c r="J82" s="52" t="e">
        <f>'Sheet 3. Total Amounts '!J82/'Formula Calculations (LOCKED)'!$B82</f>
        <v>#DIV/0!</v>
      </c>
      <c r="K82" s="52" t="e">
        <f>'Sheet 3. Total Amounts '!K82/'Formula Calculations (LOCKED)'!$B82</f>
        <v>#DIV/0!</v>
      </c>
      <c r="L82" s="29" t="e">
        <f>'Sheet 3. Total Amounts '!L82/'Formula Calculations (LOCKED)'!B82</f>
        <v>#DIV/0!</v>
      </c>
      <c r="M82" s="29" t="e">
        <f>'Sheet 3. Total Amounts '!M82/'Formula Calculations (LOCKED)'!B82</f>
        <v>#DIV/0!</v>
      </c>
      <c r="N82" s="51" t="e">
        <f>'Sheet 3. Total Amounts '!N82/'Formula Calculations (LOCKED)'!B82</f>
        <v>#DIV/0!</v>
      </c>
    </row>
    <row r="83" spans="1:14" x14ac:dyDescent="0.2">
      <c r="A83" s="7">
        <f>'Sheet 2. County Level Data'!A81</f>
        <v>0</v>
      </c>
      <c r="B83" s="29" t="e">
        <f>'Sheet 3. Total Amounts '!B83/'Formula Calculations (LOCKED)'!B83</f>
        <v>#DIV/0!</v>
      </c>
      <c r="C83" s="52" t="e">
        <f>'Sheet 3. Total Amounts '!C83/'Formula Calculations (LOCKED)'!$B83</f>
        <v>#DIV/0!</v>
      </c>
      <c r="D83" s="52" t="e">
        <f>'Sheet 3. Total Amounts '!D83/'Formula Calculations (LOCKED)'!$B83</f>
        <v>#DIV/0!</v>
      </c>
      <c r="E83" s="52" t="e">
        <f>'Sheet 3. Total Amounts '!E83/'Formula Calculations (LOCKED)'!$B83</f>
        <v>#DIV/0!</v>
      </c>
      <c r="F83" s="52" t="e">
        <f>'Sheet 3. Total Amounts '!F83/'Formula Calculations (LOCKED)'!$B83</f>
        <v>#DIV/0!</v>
      </c>
      <c r="G83" s="52" t="e">
        <f>'Sheet 3. Total Amounts '!G83/'Formula Calculations (LOCKED)'!$B83</f>
        <v>#DIV/0!</v>
      </c>
      <c r="H83" s="52" t="e">
        <f>'Sheet 3. Total Amounts '!H83/'Formula Calculations (LOCKED)'!$B83</f>
        <v>#DIV/0!</v>
      </c>
      <c r="I83" s="52" t="e">
        <f>'Sheet 3. Total Amounts '!I83/'Formula Calculations (LOCKED)'!$B83</f>
        <v>#DIV/0!</v>
      </c>
      <c r="J83" s="52" t="e">
        <f>'Sheet 3. Total Amounts '!J83/'Formula Calculations (LOCKED)'!$B83</f>
        <v>#DIV/0!</v>
      </c>
      <c r="K83" s="52" t="e">
        <f>'Sheet 3. Total Amounts '!K83/'Formula Calculations (LOCKED)'!$B83</f>
        <v>#DIV/0!</v>
      </c>
      <c r="L83" s="29" t="e">
        <f>'Sheet 3. Total Amounts '!L83/'Formula Calculations (LOCKED)'!B83</f>
        <v>#DIV/0!</v>
      </c>
      <c r="M83" s="29" t="e">
        <f>'Sheet 3. Total Amounts '!M83/'Formula Calculations (LOCKED)'!B83</f>
        <v>#DIV/0!</v>
      </c>
      <c r="N83" s="51" t="e">
        <f>'Sheet 3. Total Amounts '!N83/'Formula Calculations (LOCKED)'!B83</f>
        <v>#DIV/0!</v>
      </c>
    </row>
    <row r="84" spans="1:14" x14ac:dyDescent="0.2">
      <c r="A84" s="7">
        <f>'Sheet 2. County Level Data'!A82</f>
        <v>0</v>
      </c>
      <c r="B84" s="29" t="e">
        <f>'Sheet 3. Total Amounts '!B84/'Formula Calculations (LOCKED)'!B84</f>
        <v>#DIV/0!</v>
      </c>
      <c r="C84" s="52" t="e">
        <f>'Sheet 3. Total Amounts '!C84/'Formula Calculations (LOCKED)'!$B84</f>
        <v>#DIV/0!</v>
      </c>
      <c r="D84" s="52" t="e">
        <f>'Sheet 3. Total Amounts '!D84/'Formula Calculations (LOCKED)'!$B84</f>
        <v>#DIV/0!</v>
      </c>
      <c r="E84" s="52" t="e">
        <f>'Sheet 3. Total Amounts '!E84/'Formula Calculations (LOCKED)'!$B84</f>
        <v>#DIV/0!</v>
      </c>
      <c r="F84" s="52" t="e">
        <f>'Sheet 3. Total Amounts '!F84/'Formula Calculations (LOCKED)'!$B84</f>
        <v>#DIV/0!</v>
      </c>
      <c r="G84" s="52" t="e">
        <f>'Sheet 3. Total Amounts '!G84/'Formula Calculations (LOCKED)'!$B84</f>
        <v>#DIV/0!</v>
      </c>
      <c r="H84" s="52" t="e">
        <f>'Sheet 3. Total Amounts '!H84/'Formula Calculations (LOCKED)'!$B84</f>
        <v>#DIV/0!</v>
      </c>
      <c r="I84" s="52" t="e">
        <f>'Sheet 3. Total Amounts '!I84/'Formula Calculations (LOCKED)'!$B84</f>
        <v>#DIV/0!</v>
      </c>
      <c r="J84" s="52" t="e">
        <f>'Sheet 3. Total Amounts '!J84/'Formula Calculations (LOCKED)'!$B84</f>
        <v>#DIV/0!</v>
      </c>
      <c r="K84" s="52" t="e">
        <f>'Sheet 3. Total Amounts '!K84/'Formula Calculations (LOCKED)'!$B84</f>
        <v>#DIV/0!</v>
      </c>
      <c r="L84" s="29" t="e">
        <f>'Sheet 3. Total Amounts '!L84/'Formula Calculations (LOCKED)'!B84</f>
        <v>#DIV/0!</v>
      </c>
      <c r="M84" s="29" t="e">
        <f>'Sheet 3. Total Amounts '!M84/'Formula Calculations (LOCKED)'!B84</f>
        <v>#DIV/0!</v>
      </c>
      <c r="N84" s="51" t="e">
        <f>'Sheet 3. Total Amounts '!N84/'Formula Calculations (LOCKED)'!B84</f>
        <v>#DIV/0!</v>
      </c>
    </row>
    <row r="85" spans="1:14" x14ac:dyDescent="0.2">
      <c r="A85" s="7">
        <f>'Sheet 2. County Level Data'!A83</f>
        <v>0</v>
      </c>
      <c r="B85" s="29" t="e">
        <f>'Sheet 3. Total Amounts '!B85/'Formula Calculations (LOCKED)'!B85</f>
        <v>#DIV/0!</v>
      </c>
      <c r="C85" s="52" t="e">
        <f>'Sheet 3. Total Amounts '!C85/'Formula Calculations (LOCKED)'!$B85</f>
        <v>#DIV/0!</v>
      </c>
      <c r="D85" s="52" t="e">
        <f>'Sheet 3. Total Amounts '!D85/'Formula Calculations (LOCKED)'!$B85</f>
        <v>#DIV/0!</v>
      </c>
      <c r="E85" s="52" t="e">
        <f>'Sheet 3. Total Amounts '!E85/'Formula Calculations (LOCKED)'!$B85</f>
        <v>#DIV/0!</v>
      </c>
      <c r="F85" s="52" t="e">
        <f>'Sheet 3. Total Amounts '!F85/'Formula Calculations (LOCKED)'!$B85</f>
        <v>#DIV/0!</v>
      </c>
      <c r="G85" s="52" t="e">
        <f>'Sheet 3. Total Amounts '!G85/'Formula Calculations (LOCKED)'!$B85</f>
        <v>#DIV/0!</v>
      </c>
      <c r="H85" s="52" t="e">
        <f>'Sheet 3. Total Amounts '!H85/'Formula Calculations (LOCKED)'!$B85</f>
        <v>#DIV/0!</v>
      </c>
      <c r="I85" s="52" t="e">
        <f>'Sheet 3. Total Amounts '!I85/'Formula Calculations (LOCKED)'!$B85</f>
        <v>#DIV/0!</v>
      </c>
      <c r="J85" s="52" t="e">
        <f>'Sheet 3. Total Amounts '!J85/'Formula Calculations (LOCKED)'!$B85</f>
        <v>#DIV/0!</v>
      </c>
      <c r="K85" s="52" t="e">
        <f>'Sheet 3. Total Amounts '!K85/'Formula Calculations (LOCKED)'!$B85</f>
        <v>#DIV/0!</v>
      </c>
      <c r="L85" s="29" t="e">
        <f>'Sheet 3. Total Amounts '!L85/'Formula Calculations (LOCKED)'!B85</f>
        <v>#DIV/0!</v>
      </c>
      <c r="M85" s="29" t="e">
        <f>'Sheet 3. Total Amounts '!M85/'Formula Calculations (LOCKED)'!B85</f>
        <v>#DIV/0!</v>
      </c>
      <c r="N85" s="51" t="e">
        <f>'Sheet 3. Total Amounts '!N85/'Formula Calculations (LOCKED)'!B85</f>
        <v>#DIV/0!</v>
      </c>
    </row>
    <row r="86" spans="1:14" x14ac:dyDescent="0.2">
      <c r="A86" s="7">
        <f>'Sheet 2. County Level Data'!A84</f>
        <v>0</v>
      </c>
      <c r="B86" s="29" t="e">
        <f>'Sheet 3. Total Amounts '!B86/'Formula Calculations (LOCKED)'!B86</f>
        <v>#DIV/0!</v>
      </c>
      <c r="C86" s="52" t="e">
        <f>'Sheet 3. Total Amounts '!C86/'Formula Calculations (LOCKED)'!$B86</f>
        <v>#DIV/0!</v>
      </c>
      <c r="D86" s="52" t="e">
        <f>'Sheet 3. Total Amounts '!D86/'Formula Calculations (LOCKED)'!$B86</f>
        <v>#DIV/0!</v>
      </c>
      <c r="E86" s="52" t="e">
        <f>'Sheet 3. Total Amounts '!E86/'Formula Calculations (LOCKED)'!$B86</f>
        <v>#DIV/0!</v>
      </c>
      <c r="F86" s="52" t="e">
        <f>'Sheet 3. Total Amounts '!F86/'Formula Calculations (LOCKED)'!$B86</f>
        <v>#DIV/0!</v>
      </c>
      <c r="G86" s="52" t="e">
        <f>'Sheet 3. Total Amounts '!G86/'Formula Calculations (LOCKED)'!$B86</f>
        <v>#DIV/0!</v>
      </c>
      <c r="H86" s="52" t="e">
        <f>'Sheet 3. Total Amounts '!H86/'Formula Calculations (LOCKED)'!$B86</f>
        <v>#DIV/0!</v>
      </c>
      <c r="I86" s="52" t="e">
        <f>'Sheet 3. Total Amounts '!I86/'Formula Calculations (LOCKED)'!$B86</f>
        <v>#DIV/0!</v>
      </c>
      <c r="J86" s="52" t="e">
        <f>'Sheet 3. Total Amounts '!J86/'Formula Calculations (LOCKED)'!$B86</f>
        <v>#DIV/0!</v>
      </c>
      <c r="K86" s="52" t="e">
        <f>'Sheet 3. Total Amounts '!K86/'Formula Calculations (LOCKED)'!$B86</f>
        <v>#DIV/0!</v>
      </c>
      <c r="L86" s="29" t="e">
        <f>'Sheet 3. Total Amounts '!L86/'Formula Calculations (LOCKED)'!B86</f>
        <v>#DIV/0!</v>
      </c>
      <c r="M86" s="29" t="e">
        <f>'Sheet 3. Total Amounts '!M86/'Formula Calculations (LOCKED)'!B86</f>
        <v>#DIV/0!</v>
      </c>
      <c r="N86" s="51" t="e">
        <f>'Sheet 3. Total Amounts '!N86/'Formula Calculations (LOCKED)'!B86</f>
        <v>#DIV/0!</v>
      </c>
    </row>
    <row r="87" spans="1:14" x14ac:dyDescent="0.2">
      <c r="A87" s="7">
        <f>'Sheet 2. County Level Data'!A85</f>
        <v>0</v>
      </c>
      <c r="B87" s="29" t="e">
        <f>'Sheet 3. Total Amounts '!B87/'Formula Calculations (LOCKED)'!B87</f>
        <v>#DIV/0!</v>
      </c>
      <c r="C87" s="52" t="e">
        <f>'Sheet 3. Total Amounts '!C87/'Formula Calculations (LOCKED)'!$B87</f>
        <v>#DIV/0!</v>
      </c>
      <c r="D87" s="52" t="e">
        <f>'Sheet 3. Total Amounts '!D87/'Formula Calculations (LOCKED)'!$B87</f>
        <v>#DIV/0!</v>
      </c>
      <c r="E87" s="52" t="e">
        <f>'Sheet 3. Total Amounts '!E87/'Formula Calculations (LOCKED)'!$B87</f>
        <v>#DIV/0!</v>
      </c>
      <c r="F87" s="52" t="e">
        <f>'Sheet 3. Total Amounts '!F87/'Formula Calculations (LOCKED)'!$B87</f>
        <v>#DIV/0!</v>
      </c>
      <c r="G87" s="52" t="e">
        <f>'Sheet 3. Total Amounts '!G87/'Formula Calculations (LOCKED)'!$B87</f>
        <v>#DIV/0!</v>
      </c>
      <c r="H87" s="52" t="e">
        <f>'Sheet 3. Total Amounts '!H87/'Formula Calculations (LOCKED)'!$B87</f>
        <v>#DIV/0!</v>
      </c>
      <c r="I87" s="52" t="e">
        <f>'Sheet 3. Total Amounts '!I87/'Formula Calculations (LOCKED)'!$B87</f>
        <v>#DIV/0!</v>
      </c>
      <c r="J87" s="52" t="e">
        <f>'Sheet 3. Total Amounts '!J87/'Formula Calculations (LOCKED)'!$B87</f>
        <v>#DIV/0!</v>
      </c>
      <c r="K87" s="52" t="e">
        <f>'Sheet 3. Total Amounts '!K87/'Formula Calculations (LOCKED)'!$B87</f>
        <v>#DIV/0!</v>
      </c>
      <c r="L87" s="29" t="e">
        <f>'Sheet 3. Total Amounts '!L87/'Formula Calculations (LOCKED)'!B87</f>
        <v>#DIV/0!</v>
      </c>
      <c r="M87" s="29" t="e">
        <f>'Sheet 3. Total Amounts '!M87/'Formula Calculations (LOCKED)'!B87</f>
        <v>#DIV/0!</v>
      </c>
      <c r="N87" s="51" t="e">
        <f>'Sheet 3. Total Amounts '!N87/'Formula Calculations (LOCKED)'!B87</f>
        <v>#DIV/0!</v>
      </c>
    </row>
    <row r="88" spans="1:14" x14ac:dyDescent="0.2">
      <c r="A88" s="7">
        <f>'Sheet 2. County Level Data'!A86</f>
        <v>0</v>
      </c>
      <c r="B88" s="29" t="e">
        <f>'Sheet 3. Total Amounts '!B88/'Formula Calculations (LOCKED)'!B88</f>
        <v>#DIV/0!</v>
      </c>
      <c r="C88" s="52" t="e">
        <f>'Sheet 3. Total Amounts '!C88/'Formula Calculations (LOCKED)'!$B88</f>
        <v>#DIV/0!</v>
      </c>
      <c r="D88" s="52" t="e">
        <f>'Sheet 3. Total Amounts '!D88/'Formula Calculations (LOCKED)'!$B88</f>
        <v>#DIV/0!</v>
      </c>
      <c r="E88" s="52" t="e">
        <f>'Sheet 3. Total Amounts '!E88/'Formula Calculations (LOCKED)'!$B88</f>
        <v>#DIV/0!</v>
      </c>
      <c r="F88" s="52" t="e">
        <f>'Sheet 3. Total Amounts '!F88/'Formula Calculations (LOCKED)'!$B88</f>
        <v>#DIV/0!</v>
      </c>
      <c r="G88" s="52" t="e">
        <f>'Sheet 3. Total Amounts '!G88/'Formula Calculations (LOCKED)'!$B88</f>
        <v>#DIV/0!</v>
      </c>
      <c r="H88" s="52" t="e">
        <f>'Sheet 3. Total Amounts '!H88/'Formula Calculations (LOCKED)'!$B88</f>
        <v>#DIV/0!</v>
      </c>
      <c r="I88" s="52" t="e">
        <f>'Sheet 3. Total Amounts '!I88/'Formula Calculations (LOCKED)'!$B88</f>
        <v>#DIV/0!</v>
      </c>
      <c r="J88" s="52" t="e">
        <f>'Sheet 3. Total Amounts '!J88/'Formula Calculations (LOCKED)'!$B88</f>
        <v>#DIV/0!</v>
      </c>
      <c r="K88" s="52" t="e">
        <f>'Sheet 3. Total Amounts '!K88/'Formula Calculations (LOCKED)'!$B88</f>
        <v>#DIV/0!</v>
      </c>
      <c r="L88" s="29" t="e">
        <f>'Sheet 3. Total Amounts '!L88/'Formula Calculations (LOCKED)'!B88</f>
        <v>#DIV/0!</v>
      </c>
      <c r="M88" s="29" t="e">
        <f>'Sheet 3. Total Amounts '!M88/'Formula Calculations (LOCKED)'!B88</f>
        <v>#DIV/0!</v>
      </c>
      <c r="N88" s="51" t="e">
        <f>'Sheet 3. Total Amounts '!N88/'Formula Calculations (LOCKED)'!B88</f>
        <v>#DIV/0!</v>
      </c>
    </row>
    <row r="89" spans="1:14" x14ac:dyDescent="0.2">
      <c r="A89" s="7">
        <f>'Sheet 2. County Level Data'!A87</f>
        <v>0</v>
      </c>
      <c r="B89" s="29" t="e">
        <f>'Sheet 3. Total Amounts '!B89/'Formula Calculations (LOCKED)'!B89</f>
        <v>#DIV/0!</v>
      </c>
      <c r="C89" s="52" t="e">
        <f>'Sheet 3. Total Amounts '!C89/'Formula Calculations (LOCKED)'!$B89</f>
        <v>#DIV/0!</v>
      </c>
      <c r="D89" s="52" t="e">
        <f>'Sheet 3. Total Amounts '!D89/'Formula Calculations (LOCKED)'!$B89</f>
        <v>#DIV/0!</v>
      </c>
      <c r="E89" s="52" t="e">
        <f>'Sheet 3. Total Amounts '!E89/'Formula Calculations (LOCKED)'!$B89</f>
        <v>#DIV/0!</v>
      </c>
      <c r="F89" s="52" t="e">
        <f>'Sheet 3. Total Amounts '!F89/'Formula Calculations (LOCKED)'!$B89</f>
        <v>#DIV/0!</v>
      </c>
      <c r="G89" s="52" t="e">
        <f>'Sheet 3. Total Amounts '!G89/'Formula Calculations (LOCKED)'!$B89</f>
        <v>#DIV/0!</v>
      </c>
      <c r="H89" s="52" t="e">
        <f>'Sheet 3. Total Amounts '!H89/'Formula Calculations (LOCKED)'!$B89</f>
        <v>#DIV/0!</v>
      </c>
      <c r="I89" s="52" t="e">
        <f>'Sheet 3. Total Amounts '!I89/'Formula Calculations (LOCKED)'!$B89</f>
        <v>#DIV/0!</v>
      </c>
      <c r="J89" s="52" t="e">
        <f>'Sheet 3. Total Amounts '!J89/'Formula Calculations (LOCKED)'!$B89</f>
        <v>#DIV/0!</v>
      </c>
      <c r="K89" s="52" t="e">
        <f>'Sheet 3. Total Amounts '!K89/'Formula Calculations (LOCKED)'!$B89</f>
        <v>#DIV/0!</v>
      </c>
      <c r="L89" s="29" t="e">
        <f>'Sheet 3. Total Amounts '!L89/'Formula Calculations (LOCKED)'!B89</f>
        <v>#DIV/0!</v>
      </c>
      <c r="M89" s="29" t="e">
        <f>'Sheet 3. Total Amounts '!M89/'Formula Calculations (LOCKED)'!B89</f>
        <v>#DIV/0!</v>
      </c>
      <c r="N89" s="51" t="e">
        <f>'Sheet 3. Total Amounts '!N89/'Formula Calculations (LOCKED)'!B89</f>
        <v>#DIV/0!</v>
      </c>
    </row>
    <row r="90" spans="1:14" x14ac:dyDescent="0.2">
      <c r="A90" s="7">
        <f>'Sheet 2. County Level Data'!A88</f>
        <v>0</v>
      </c>
      <c r="B90" s="29" t="e">
        <f>'Sheet 3. Total Amounts '!B90/'Formula Calculations (LOCKED)'!B90</f>
        <v>#DIV/0!</v>
      </c>
      <c r="C90" s="52" t="e">
        <f>'Sheet 3. Total Amounts '!C90/'Formula Calculations (LOCKED)'!$B90</f>
        <v>#DIV/0!</v>
      </c>
      <c r="D90" s="52" t="e">
        <f>'Sheet 3. Total Amounts '!D90/'Formula Calculations (LOCKED)'!$B90</f>
        <v>#DIV/0!</v>
      </c>
      <c r="E90" s="52" t="e">
        <f>'Sheet 3. Total Amounts '!E90/'Formula Calculations (LOCKED)'!$B90</f>
        <v>#DIV/0!</v>
      </c>
      <c r="F90" s="52" t="e">
        <f>'Sheet 3. Total Amounts '!F90/'Formula Calculations (LOCKED)'!$B90</f>
        <v>#DIV/0!</v>
      </c>
      <c r="G90" s="52" t="e">
        <f>'Sheet 3. Total Amounts '!G90/'Formula Calculations (LOCKED)'!$B90</f>
        <v>#DIV/0!</v>
      </c>
      <c r="H90" s="52" t="e">
        <f>'Sheet 3. Total Amounts '!H90/'Formula Calculations (LOCKED)'!$B90</f>
        <v>#DIV/0!</v>
      </c>
      <c r="I90" s="52" t="e">
        <f>'Sheet 3. Total Amounts '!I90/'Formula Calculations (LOCKED)'!$B90</f>
        <v>#DIV/0!</v>
      </c>
      <c r="J90" s="52" t="e">
        <f>'Sheet 3. Total Amounts '!J90/'Formula Calculations (LOCKED)'!$B90</f>
        <v>#DIV/0!</v>
      </c>
      <c r="K90" s="52" t="e">
        <f>'Sheet 3. Total Amounts '!K90/'Formula Calculations (LOCKED)'!$B90</f>
        <v>#DIV/0!</v>
      </c>
      <c r="L90" s="29" t="e">
        <f>'Sheet 3. Total Amounts '!L90/'Formula Calculations (LOCKED)'!B90</f>
        <v>#DIV/0!</v>
      </c>
      <c r="M90" s="29" t="e">
        <f>'Sheet 3. Total Amounts '!M90/'Formula Calculations (LOCKED)'!B90</f>
        <v>#DIV/0!</v>
      </c>
      <c r="N90" s="51" t="e">
        <f>'Sheet 3. Total Amounts '!N90/'Formula Calculations (LOCKED)'!B90</f>
        <v>#DIV/0!</v>
      </c>
    </row>
    <row r="91" spans="1:14" x14ac:dyDescent="0.2">
      <c r="A91" s="7">
        <f>'Sheet 2. County Level Data'!A89</f>
        <v>0</v>
      </c>
      <c r="B91" s="29" t="e">
        <f>'Sheet 3. Total Amounts '!B91/'Formula Calculations (LOCKED)'!B91</f>
        <v>#DIV/0!</v>
      </c>
      <c r="C91" s="52" t="e">
        <f>'Sheet 3. Total Amounts '!C91/'Formula Calculations (LOCKED)'!$B91</f>
        <v>#DIV/0!</v>
      </c>
      <c r="D91" s="52" t="e">
        <f>'Sheet 3. Total Amounts '!D91/'Formula Calculations (LOCKED)'!$B91</f>
        <v>#DIV/0!</v>
      </c>
      <c r="E91" s="52" t="e">
        <f>'Sheet 3. Total Amounts '!E91/'Formula Calculations (LOCKED)'!$B91</f>
        <v>#DIV/0!</v>
      </c>
      <c r="F91" s="52" t="e">
        <f>'Sheet 3. Total Amounts '!F91/'Formula Calculations (LOCKED)'!$B91</f>
        <v>#DIV/0!</v>
      </c>
      <c r="G91" s="52" t="e">
        <f>'Sheet 3. Total Amounts '!G91/'Formula Calculations (LOCKED)'!$B91</f>
        <v>#DIV/0!</v>
      </c>
      <c r="H91" s="52" t="e">
        <f>'Sheet 3. Total Amounts '!H91/'Formula Calculations (LOCKED)'!$B91</f>
        <v>#DIV/0!</v>
      </c>
      <c r="I91" s="52" t="e">
        <f>'Sheet 3. Total Amounts '!I91/'Formula Calculations (LOCKED)'!$B91</f>
        <v>#DIV/0!</v>
      </c>
      <c r="J91" s="52" t="e">
        <f>'Sheet 3. Total Amounts '!J91/'Formula Calculations (LOCKED)'!$B91</f>
        <v>#DIV/0!</v>
      </c>
      <c r="K91" s="52" t="e">
        <f>'Sheet 3. Total Amounts '!K91/'Formula Calculations (LOCKED)'!$B91</f>
        <v>#DIV/0!</v>
      </c>
      <c r="L91" s="29" t="e">
        <f>'Sheet 3. Total Amounts '!L91/'Formula Calculations (LOCKED)'!B91</f>
        <v>#DIV/0!</v>
      </c>
      <c r="M91" s="29" t="e">
        <f>'Sheet 3. Total Amounts '!M91/'Formula Calculations (LOCKED)'!B91</f>
        <v>#DIV/0!</v>
      </c>
      <c r="N91" s="51" t="e">
        <f>'Sheet 3. Total Amounts '!N91/'Formula Calculations (LOCKED)'!B91</f>
        <v>#DIV/0!</v>
      </c>
    </row>
    <row r="92" spans="1:14" x14ac:dyDescent="0.2">
      <c r="A92" s="7">
        <f>'Sheet 2. County Level Data'!A90</f>
        <v>0</v>
      </c>
      <c r="B92" s="29" t="e">
        <f>'Sheet 3. Total Amounts '!B92/'Formula Calculations (LOCKED)'!B92</f>
        <v>#DIV/0!</v>
      </c>
      <c r="C92" s="52" t="e">
        <f>'Sheet 3. Total Amounts '!C92/'Formula Calculations (LOCKED)'!$B92</f>
        <v>#DIV/0!</v>
      </c>
      <c r="D92" s="52" t="e">
        <f>'Sheet 3. Total Amounts '!D92/'Formula Calculations (LOCKED)'!$B92</f>
        <v>#DIV/0!</v>
      </c>
      <c r="E92" s="52" t="e">
        <f>'Sheet 3. Total Amounts '!E92/'Formula Calculations (LOCKED)'!$B92</f>
        <v>#DIV/0!</v>
      </c>
      <c r="F92" s="52" t="e">
        <f>'Sheet 3. Total Amounts '!F92/'Formula Calculations (LOCKED)'!$B92</f>
        <v>#DIV/0!</v>
      </c>
      <c r="G92" s="52" t="e">
        <f>'Sheet 3. Total Amounts '!G92/'Formula Calculations (LOCKED)'!$B92</f>
        <v>#DIV/0!</v>
      </c>
      <c r="H92" s="52" t="e">
        <f>'Sheet 3. Total Amounts '!H92/'Formula Calculations (LOCKED)'!$B92</f>
        <v>#DIV/0!</v>
      </c>
      <c r="I92" s="52" t="e">
        <f>'Sheet 3. Total Amounts '!I92/'Formula Calculations (LOCKED)'!$B92</f>
        <v>#DIV/0!</v>
      </c>
      <c r="J92" s="52" t="e">
        <f>'Sheet 3. Total Amounts '!J92/'Formula Calculations (LOCKED)'!$B92</f>
        <v>#DIV/0!</v>
      </c>
      <c r="K92" s="52" t="e">
        <f>'Sheet 3. Total Amounts '!K92/'Formula Calculations (LOCKED)'!$B92</f>
        <v>#DIV/0!</v>
      </c>
      <c r="L92" s="29" t="e">
        <f>'Sheet 3. Total Amounts '!L92/'Formula Calculations (LOCKED)'!B92</f>
        <v>#DIV/0!</v>
      </c>
      <c r="M92" s="29" t="e">
        <f>'Sheet 3. Total Amounts '!M92/'Formula Calculations (LOCKED)'!B92</f>
        <v>#DIV/0!</v>
      </c>
      <c r="N92" s="51" t="e">
        <f>'Sheet 3. Total Amounts '!N92/'Formula Calculations (LOCKED)'!B92</f>
        <v>#DIV/0!</v>
      </c>
    </row>
    <row r="93" spans="1:14" x14ac:dyDescent="0.2">
      <c r="A93" s="7">
        <f>'Sheet 2. County Level Data'!A91</f>
        <v>0</v>
      </c>
      <c r="B93" s="29" t="e">
        <f>'Sheet 3. Total Amounts '!B93/'Formula Calculations (LOCKED)'!B93</f>
        <v>#DIV/0!</v>
      </c>
      <c r="C93" s="52" t="e">
        <f>'Sheet 3. Total Amounts '!C93/'Formula Calculations (LOCKED)'!$B93</f>
        <v>#DIV/0!</v>
      </c>
      <c r="D93" s="52" t="e">
        <f>'Sheet 3. Total Amounts '!D93/'Formula Calculations (LOCKED)'!$B93</f>
        <v>#DIV/0!</v>
      </c>
      <c r="E93" s="52" t="e">
        <f>'Sheet 3. Total Amounts '!E93/'Formula Calculations (LOCKED)'!$B93</f>
        <v>#DIV/0!</v>
      </c>
      <c r="F93" s="52" t="e">
        <f>'Sheet 3. Total Amounts '!F93/'Formula Calculations (LOCKED)'!$B93</f>
        <v>#DIV/0!</v>
      </c>
      <c r="G93" s="52" t="e">
        <f>'Sheet 3. Total Amounts '!G93/'Formula Calculations (LOCKED)'!$B93</f>
        <v>#DIV/0!</v>
      </c>
      <c r="H93" s="52" t="e">
        <f>'Sheet 3. Total Amounts '!H93/'Formula Calculations (LOCKED)'!$B93</f>
        <v>#DIV/0!</v>
      </c>
      <c r="I93" s="52" t="e">
        <f>'Sheet 3. Total Amounts '!I93/'Formula Calculations (LOCKED)'!$B93</f>
        <v>#DIV/0!</v>
      </c>
      <c r="J93" s="52" t="e">
        <f>'Sheet 3. Total Amounts '!J93/'Formula Calculations (LOCKED)'!$B93</f>
        <v>#DIV/0!</v>
      </c>
      <c r="K93" s="52" t="e">
        <f>'Sheet 3. Total Amounts '!K93/'Formula Calculations (LOCKED)'!$B93</f>
        <v>#DIV/0!</v>
      </c>
      <c r="L93" s="29" t="e">
        <f>'Sheet 3. Total Amounts '!L93/'Formula Calculations (LOCKED)'!B93</f>
        <v>#DIV/0!</v>
      </c>
      <c r="M93" s="29" t="e">
        <f>'Sheet 3. Total Amounts '!M93/'Formula Calculations (LOCKED)'!B93</f>
        <v>#DIV/0!</v>
      </c>
      <c r="N93" s="51" t="e">
        <f>'Sheet 3. Total Amounts '!N93/'Formula Calculations (LOCKED)'!B93</f>
        <v>#DIV/0!</v>
      </c>
    </row>
    <row r="94" spans="1:14" x14ac:dyDescent="0.2">
      <c r="A94" s="7">
        <f>'Sheet 2. County Level Data'!A92</f>
        <v>0</v>
      </c>
      <c r="B94" s="29" t="e">
        <f>'Sheet 3. Total Amounts '!B94/'Formula Calculations (LOCKED)'!B94</f>
        <v>#DIV/0!</v>
      </c>
      <c r="C94" s="52" t="e">
        <f>'Sheet 3. Total Amounts '!C94/'Formula Calculations (LOCKED)'!$B94</f>
        <v>#DIV/0!</v>
      </c>
      <c r="D94" s="52" t="e">
        <f>'Sheet 3. Total Amounts '!D94/'Formula Calculations (LOCKED)'!$B94</f>
        <v>#DIV/0!</v>
      </c>
      <c r="E94" s="52" t="e">
        <f>'Sheet 3. Total Amounts '!E94/'Formula Calculations (LOCKED)'!$B94</f>
        <v>#DIV/0!</v>
      </c>
      <c r="F94" s="52" t="e">
        <f>'Sheet 3. Total Amounts '!F94/'Formula Calculations (LOCKED)'!$B94</f>
        <v>#DIV/0!</v>
      </c>
      <c r="G94" s="52" t="e">
        <f>'Sheet 3. Total Amounts '!G94/'Formula Calculations (LOCKED)'!$B94</f>
        <v>#DIV/0!</v>
      </c>
      <c r="H94" s="52" t="e">
        <f>'Sheet 3. Total Amounts '!H94/'Formula Calculations (LOCKED)'!$B94</f>
        <v>#DIV/0!</v>
      </c>
      <c r="I94" s="52" t="e">
        <f>'Sheet 3. Total Amounts '!I94/'Formula Calculations (LOCKED)'!$B94</f>
        <v>#DIV/0!</v>
      </c>
      <c r="J94" s="52" t="e">
        <f>'Sheet 3. Total Amounts '!J94/'Formula Calculations (LOCKED)'!$B94</f>
        <v>#DIV/0!</v>
      </c>
      <c r="K94" s="52" t="e">
        <f>'Sheet 3. Total Amounts '!K94/'Formula Calculations (LOCKED)'!$B94</f>
        <v>#DIV/0!</v>
      </c>
      <c r="L94" s="29" t="e">
        <f>'Sheet 3. Total Amounts '!L94/'Formula Calculations (LOCKED)'!B94</f>
        <v>#DIV/0!</v>
      </c>
      <c r="M94" s="29" t="e">
        <f>'Sheet 3. Total Amounts '!M94/'Formula Calculations (LOCKED)'!B94</f>
        <v>#DIV/0!</v>
      </c>
      <c r="N94" s="51" t="e">
        <f>'Sheet 3. Total Amounts '!N94/'Formula Calculations (LOCKED)'!B94</f>
        <v>#DIV/0!</v>
      </c>
    </row>
    <row r="95" spans="1:14" x14ac:dyDescent="0.2">
      <c r="A95" s="7">
        <f>'Sheet 2. County Level Data'!A93</f>
        <v>0</v>
      </c>
      <c r="B95" s="29" t="e">
        <f>'Sheet 3. Total Amounts '!B95/'Formula Calculations (LOCKED)'!B95</f>
        <v>#DIV/0!</v>
      </c>
      <c r="C95" s="52" t="e">
        <f>'Sheet 3. Total Amounts '!C95/'Formula Calculations (LOCKED)'!$B95</f>
        <v>#DIV/0!</v>
      </c>
      <c r="D95" s="52" t="e">
        <f>'Sheet 3. Total Amounts '!D95/'Formula Calculations (LOCKED)'!$B95</f>
        <v>#DIV/0!</v>
      </c>
      <c r="E95" s="52" t="e">
        <f>'Sheet 3. Total Amounts '!E95/'Formula Calculations (LOCKED)'!$B95</f>
        <v>#DIV/0!</v>
      </c>
      <c r="F95" s="52" t="e">
        <f>'Sheet 3. Total Amounts '!F95/'Formula Calculations (LOCKED)'!$B95</f>
        <v>#DIV/0!</v>
      </c>
      <c r="G95" s="52" t="e">
        <f>'Sheet 3. Total Amounts '!G95/'Formula Calculations (LOCKED)'!$B95</f>
        <v>#DIV/0!</v>
      </c>
      <c r="H95" s="52" t="e">
        <f>'Sheet 3. Total Amounts '!H95/'Formula Calculations (LOCKED)'!$B95</f>
        <v>#DIV/0!</v>
      </c>
      <c r="I95" s="52" t="e">
        <f>'Sheet 3. Total Amounts '!I95/'Formula Calculations (LOCKED)'!$B95</f>
        <v>#DIV/0!</v>
      </c>
      <c r="J95" s="52" t="e">
        <f>'Sheet 3. Total Amounts '!J95/'Formula Calculations (LOCKED)'!$B95</f>
        <v>#DIV/0!</v>
      </c>
      <c r="K95" s="52" t="e">
        <f>'Sheet 3. Total Amounts '!K95/'Formula Calculations (LOCKED)'!$B95</f>
        <v>#DIV/0!</v>
      </c>
      <c r="L95" s="29" t="e">
        <f>'Sheet 3. Total Amounts '!L95/'Formula Calculations (LOCKED)'!B95</f>
        <v>#DIV/0!</v>
      </c>
      <c r="M95" s="29" t="e">
        <f>'Sheet 3. Total Amounts '!M95/'Formula Calculations (LOCKED)'!B95</f>
        <v>#DIV/0!</v>
      </c>
      <c r="N95" s="51" t="e">
        <f>'Sheet 3. Total Amounts '!N95/'Formula Calculations (LOCKED)'!B95</f>
        <v>#DIV/0!</v>
      </c>
    </row>
    <row r="96" spans="1:14" x14ac:dyDescent="0.2">
      <c r="A96" s="7">
        <f>'Sheet 2. County Level Data'!A94</f>
        <v>0</v>
      </c>
      <c r="B96" s="29" t="e">
        <f>'Sheet 3. Total Amounts '!B96/'Formula Calculations (LOCKED)'!B96</f>
        <v>#DIV/0!</v>
      </c>
      <c r="C96" s="52" t="e">
        <f>'Sheet 3. Total Amounts '!C96/'Formula Calculations (LOCKED)'!$B96</f>
        <v>#DIV/0!</v>
      </c>
      <c r="D96" s="52" t="e">
        <f>'Sheet 3. Total Amounts '!D96/'Formula Calculations (LOCKED)'!$B96</f>
        <v>#DIV/0!</v>
      </c>
      <c r="E96" s="52" t="e">
        <f>'Sheet 3. Total Amounts '!E96/'Formula Calculations (LOCKED)'!$B96</f>
        <v>#DIV/0!</v>
      </c>
      <c r="F96" s="52" t="e">
        <f>'Sheet 3. Total Amounts '!F96/'Formula Calculations (LOCKED)'!$B96</f>
        <v>#DIV/0!</v>
      </c>
      <c r="G96" s="52" t="e">
        <f>'Sheet 3. Total Amounts '!G96/'Formula Calculations (LOCKED)'!$B96</f>
        <v>#DIV/0!</v>
      </c>
      <c r="H96" s="52" t="e">
        <f>'Sheet 3. Total Amounts '!H96/'Formula Calculations (LOCKED)'!$B96</f>
        <v>#DIV/0!</v>
      </c>
      <c r="I96" s="52" t="e">
        <f>'Sheet 3. Total Amounts '!I96/'Formula Calculations (LOCKED)'!$B96</f>
        <v>#DIV/0!</v>
      </c>
      <c r="J96" s="52" t="e">
        <f>'Sheet 3. Total Amounts '!J96/'Formula Calculations (LOCKED)'!$B96</f>
        <v>#DIV/0!</v>
      </c>
      <c r="K96" s="52" t="e">
        <f>'Sheet 3. Total Amounts '!K96/'Formula Calculations (LOCKED)'!$B96</f>
        <v>#DIV/0!</v>
      </c>
      <c r="L96" s="29" t="e">
        <f>'Sheet 3. Total Amounts '!L96/'Formula Calculations (LOCKED)'!B96</f>
        <v>#DIV/0!</v>
      </c>
      <c r="M96" s="29" t="e">
        <f>'Sheet 3. Total Amounts '!M96/'Formula Calculations (LOCKED)'!B96</f>
        <v>#DIV/0!</v>
      </c>
      <c r="N96" s="51" t="e">
        <f>'Sheet 3. Total Amounts '!N96/'Formula Calculations (LOCKED)'!B96</f>
        <v>#DIV/0!</v>
      </c>
    </row>
    <row r="97" spans="1:14" x14ac:dyDescent="0.2">
      <c r="A97" s="7">
        <f>'Sheet 2. County Level Data'!A95</f>
        <v>0</v>
      </c>
      <c r="B97" s="29" t="e">
        <f>'Sheet 3. Total Amounts '!B97/'Formula Calculations (LOCKED)'!B97</f>
        <v>#DIV/0!</v>
      </c>
      <c r="C97" s="52" t="e">
        <f>'Sheet 3. Total Amounts '!C97/'Formula Calculations (LOCKED)'!$B97</f>
        <v>#DIV/0!</v>
      </c>
      <c r="D97" s="52" t="e">
        <f>'Sheet 3. Total Amounts '!D97/'Formula Calculations (LOCKED)'!$B97</f>
        <v>#DIV/0!</v>
      </c>
      <c r="E97" s="52" t="e">
        <f>'Sheet 3. Total Amounts '!E97/'Formula Calculations (LOCKED)'!$B97</f>
        <v>#DIV/0!</v>
      </c>
      <c r="F97" s="52" t="e">
        <f>'Sheet 3. Total Amounts '!F97/'Formula Calculations (LOCKED)'!$B97</f>
        <v>#DIV/0!</v>
      </c>
      <c r="G97" s="52" t="e">
        <f>'Sheet 3. Total Amounts '!G97/'Formula Calculations (LOCKED)'!$B97</f>
        <v>#DIV/0!</v>
      </c>
      <c r="H97" s="52" t="e">
        <f>'Sheet 3. Total Amounts '!H97/'Formula Calculations (LOCKED)'!$B97</f>
        <v>#DIV/0!</v>
      </c>
      <c r="I97" s="52" t="e">
        <f>'Sheet 3. Total Amounts '!I97/'Formula Calculations (LOCKED)'!$B97</f>
        <v>#DIV/0!</v>
      </c>
      <c r="J97" s="52" t="e">
        <f>'Sheet 3. Total Amounts '!J97/'Formula Calculations (LOCKED)'!$B97</f>
        <v>#DIV/0!</v>
      </c>
      <c r="K97" s="52" t="e">
        <f>'Sheet 3. Total Amounts '!K97/'Formula Calculations (LOCKED)'!$B97</f>
        <v>#DIV/0!</v>
      </c>
      <c r="L97" s="29" t="e">
        <f>'Sheet 3. Total Amounts '!L97/'Formula Calculations (LOCKED)'!B97</f>
        <v>#DIV/0!</v>
      </c>
      <c r="M97" s="29" t="e">
        <f>'Sheet 3. Total Amounts '!M97/'Formula Calculations (LOCKED)'!B97</f>
        <v>#DIV/0!</v>
      </c>
      <c r="N97" s="51" t="e">
        <f>'Sheet 3. Total Amounts '!N97/'Formula Calculations (LOCKED)'!B97</f>
        <v>#DIV/0!</v>
      </c>
    </row>
    <row r="98" spans="1:14" x14ac:dyDescent="0.2">
      <c r="A98" s="7">
        <f>'Sheet 2. County Level Data'!A96</f>
        <v>0</v>
      </c>
      <c r="B98" s="29" t="e">
        <f>'Sheet 3. Total Amounts '!B98/'Formula Calculations (LOCKED)'!B98</f>
        <v>#DIV/0!</v>
      </c>
      <c r="C98" s="52" t="e">
        <f>'Sheet 3. Total Amounts '!C98/'Formula Calculations (LOCKED)'!$B98</f>
        <v>#DIV/0!</v>
      </c>
      <c r="D98" s="52" t="e">
        <f>'Sheet 3. Total Amounts '!D98/'Formula Calculations (LOCKED)'!$B98</f>
        <v>#DIV/0!</v>
      </c>
      <c r="E98" s="52" t="e">
        <f>'Sheet 3. Total Amounts '!E98/'Formula Calculations (LOCKED)'!$B98</f>
        <v>#DIV/0!</v>
      </c>
      <c r="F98" s="52" t="e">
        <f>'Sheet 3. Total Amounts '!F98/'Formula Calculations (LOCKED)'!$B98</f>
        <v>#DIV/0!</v>
      </c>
      <c r="G98" s="52" t="e">
        <f>'Sheet 3. Total Amounts '!G98/'Formula Calculations (LOCKED)'!$B98</f>
        <v>#DIV/0!</v>
      </c>
      <c r="H98" s="52" t="e">
        <f>'Sheet 3. Total Amounts '!H98/'Formula Calculations (LOCKED)'!$B98</f>
        <v>#DIV/0!</v>
      </c>
      <c r="I98" s="52" t="e">
        <f>'Sheet 3. Total Amounts '!I98/'Formula Calculations (LOCKED)'!$B98</f>
        <v>#DIV/0!</v>
      </c>
      <c r="J98" s="52" t="e">
        <f>'Sheet 3. Total Amounts '!J98/'Formula Calculations (LOCKED)'!$B98</f>
        <v>#DIV/0!</v>
      </c>
      <c r="K98" s="52" t="e">
        <f>'Sheet 3. Total Amounts '!K98/'Formula Calculations (LOCKED)'!$B98</f>
        <v>#DIV/0!</v>
      </c>
      <c r="L98" s="29" t="e">
        <f>'Sheet 3. Total Amounts '!L98/'Formula Calculations (LOCKED)'!B98</f>
        <v>#DIV/0!</v>
      </c>
      <c r="M98" s="29" t="e">
        <f>'Sheet 3. Total Amounts '!M98/'Formula Calculations (LOCKED)'!B98</f>
        <v>#DIV/0!</v>
      </c>
      <c r="N98" s="51" t="e">
        <f>'Sheet 3. Total Amounts '!N98/'Formula Calculations (LOCKED)'!B98</f>
        <v>#DIV/0!</v>
      </c>
    </row>
    <row r="99" spans="1:14" x14ac:dyDescent="0.2">
      <c r="A99" s="7">
        <f>'Sheet 2. County Level Data'!A97</f>
        <v>0</v>
      </c>
      <c r="B99" s="29" t="e">
        <f>'Sheet 3. Total Amounts '!B99/'Formula Calculations (LOCKED)'!B99</f>
        <v>#DIV/0!</v>
      </c>
      <c r="C99" s="52" t="e">
        <f>'Sheet 3. Total Amounts '!C99/'Formula Calculations (LOCKED)'!$B99</f>
        <v>#DIV/0!</v>
      </c>
      <c r="D99" s="52" t="e">
        <f>'Sheet 3. Total Amounts '!D99/'Formula Calculations (LOCKED)'!$B99</f>
        <v>#DIV/0!</v>
      </c>
      <c r="E99" s="52" t="e">
        <f>'Sheet 3. Total Amounts '!E99/'Formula Calculations (LOCKED)'!$B99</f>
        <v>#DIV/0!</v>
      </c>
      <c r="F99" s="52" t="e">
        <f>'Sheet 3. Total Amounts '!F99/'Formula Calculations (LOCKED)'!$B99</f>
        <v>#DIV/0!</v>
      </c>
      <c r="G99" s="52" t="e">
        <f>'Sheet 3. Total Amounts '!G99/'Formula Calculations (LOCKED)'!$B99</f>
        <v>#DIV/0!</v>
      </c>
      <c r="H99" s="52" t="e">
        <f>'Sheet 3. Total Amounts '!H99/'Formula Calculations (LOCKED)'!$B99</f>
        <v>#DIV/0!</v>
      </c>
      <c r="I99" s="52" t="e">
        <f>'Sheet 3. Total Amounts '!I99/'Formula Calculations (LOCKED)'!$B99</f>
        <v>#DIV/0!</v>
      </c>
      <c r="J99" s="52" t="e">
        <f>'Sheet 3. Total Amounts '!J99/'Formula Calculations (LOCKED)'!$B99</f>
        <v>#DIV/0!</v>
      </c>
      <c r="K99" s="52" t="e">
        <f>'Sheet 3. Total Amounts '!K99/'Formula Calculations (LOCKED)'!$B99</f>
        <v>#DIV/0!</v>
      </c>
      <c r="L99" s="29" t="e">
        <f>'Sheet 3. Total Amounts '!L99/'Formula Calculations (LOCKED)'!B99</f>
        <v>#DIV/0!</v>
      </c>
      <c r="M99" s="29" t="e">
        <f>'Sheet 3. Total Amounts '!M99/'Formula Calculations (LOCKED)'!B99</f>
        <v>#DIV/0!</v>
      </c>
      <c r="N99" s="51" t="e">
        <f>'Sheet 3. Total Amounts '!N99/'Formula Calculations (LOCKED)'!B99</f>
        <v>#DIV/0!</v>
      </c>
    </row>
    <row r="100" spans="1:14" x14ac:dyDescent="0.2">
      <c r="A100" s="7">
        <f>'Sheet 2. County Level Data'!A98</f>
        <v>0</v>
      </c>
      <c r="B100" s="29" t="e">
        <f>'Sheet 3. Total Amounts '!B100/'Formula Calculations (LOCKED)'!B100</f>
        <v>#DIV/0!</v>
      </c>
      <c r="C100" s="52" t="e">
        <f>'Sheet 3. Total Amounts '!C100/'Formula Calculations (LOCKED)'!$B100</f>
        <v>#DIV/0!</v>
      </c>
      <c r="D100" s="52" t="e">
        <f>'Sheet 3. Total Amounts '!D100/'Formula Calculations (LOCKED)'!$B100</f>
        <v>#DIV/0!</v>
      </c>
      <c r="E100" s="52" t="e">
        <f>'Sheet 3. Total Amounts '!E100/'Formula Calculations (LOCKED)'!$B100</f>
        <v>#DIV/0!</v>
      </c>
      <c r="F100" s="52" t="e">
        <f>'Sheet 3. Total Amounts '!F100/'Formula Calculations (LOCKED)'!$B100</f>
        <v>#DIV/0!</v>
      </c>
      <c r="G100" s="52" t="e">
        <f>'Sheet 3. Total Amounts '!G100/'Formula Calculations (LOCKED)'!$B100</f>
        <v>#DIV/0!</v>
      </c>
      <c r="H100" s="52" t="e">
        <f>'Sheet 3. Total Amounts '!H100/'Formula Calculations (LOCKED)'!$B100</f>
        <v>#DIV/0!</v>
      </c>
      <c r="I100" s="52" t="e">
        <f>'Sheet 3. Total Amounts '!I100/'Formula Calculations (LOCKED)'!$B100</f>
        <v>#DIV/0!</v>
      </c>
      <c r="J100" s="52" t="e">
        <f>'Sheet 3. Total Amounts '!J100/'Formula Calculations (LOCKED)'!$B100</f>
        <v>#DIV/0!</v>
      </c>
      <c r="K100" s="52" t="e">
        <f>'Sheet 3. Total Amounts '!K100/'Formula Calculations (LOCKED)'!$B100</f>
        <v>#DIV/0!</v>
      </c>
      <c r="L100" s="29" t="e">
        <f>'Sheet 3. Total Amounts '!L100/'Formula Calculations (LOCKED)'!B100</f>
        <v>#DIV/0!</v>
      </c>
      <c r="M100" s="29" t="e">
        <f>'Sheet 3. Total Amounts '!M100/'Formula Calculations (LOCKED)'!B100</f>
        <v>#DIV/0!</v>
      </c>
      <c r="N100" s="51" t="e">
        <f>'Sheet 3. Total Amounts '!N100/'Formula Calculations (LOCKED)'!B100</f>
        <v>#DIV/0!</v>
      </c>
    </row>
    <row r="101" spans="1:14" x14ac:dyDescent="0.2">
      <c r="A101" s="7">
        <f>'Sheet 2. County Level Data'!A99</f>
        <v>0</v>
      </c>
      <c r="B101" s="29" t="e">
        <f>'Sheet 3. Total Amounts '!B101/'Formula Calculations (LOCKED)'!B101</f>
        <v>#DIV/0!</v>
      </c>
      <c r="C101" s="52" t="e">
        <f>'Sheet 3. Total Amounts '!C101/'Formula Calculations (LOCKED)'!$B101</f>
        <v>#DIV/0!</v>
      </c>
      <c r="D101" s="52" t="e">
        <f>'Sheet 3. Total Amounts '!D101/'Formula Calculations (LOCKED)'!$B101</f>
        <v>#DIV/0!</v>
      </c>
      <c r="E101" s="52" t="e">
        <f>'Sheet 3. Total Amounts '!E101/'Formula Calculations (LOCKED)'!$B101</f>
        <v>#DIV/0!</v>
      </c>
      <c r="F101" s="52" t="e">
        <f>'Sheet 3. Total Amounts '!F101/'Formula Calculations (LOCKED)'!$B101</f>
        <v>#DIV/0!</v>
      </c>
      <c r="G101" s="52" t="e">
        <f>'Sheet 3. Total Amounts '!G101/'Formula Calculations (LOCKED)'!$B101</f>
        <v>#DIV/0!</v>
      </c>
      <c r="H101" s="52" t="e">
        <f>'Sheet 3. Total Amounts '!H101/'Formula Calculations (LOCKED)'!$B101</f>
        <v>#DIV/0!</v>
      </c>
      <c r="I101" s="52" t="e">
        <f>'Sheet 3. Total Amounts '!I101/'Formula Calculations (LOCKED)'!$B101</f>
        <v>#DIV/0!</v>
      </c>
      <c r="J101" s="52" t="e">
        <f>'Sheet 3. Total Amounts '!J101/'Formula Calculations (LOCKED)'!$B101</f>
        <v>#DIV/0!</v>
      </c>
      <c r="K101" s="52" t="e">
        <f>'Sheet 3. Total Amounts '!K101/'Formula Calculations (LOCKED)'!$B101</f>
        <v>#DIV/0!</v>
      </c>
      <c r="L101" s="29" t="e">
        <f>'Sheet 3. Total Amounts '!L101/'Formula Calculations (LOCKED)'!B101</f>
        <v>#DIV/0!</v>
      </c>
      <c r="M101" s="29" t="e">
        <f>'Sheet 3. Total Amounts '!M101/'Formula Calculations (LOCKED)'!B101</f>
        <v>#DIV/0!</v>
      </c>
      <c r="N101" s="51" t="e">
        <f>'Sheet 3. Total Amounts '!N101/'Formula Calculations (LOCKED)'!B101</f>
        <v>#DIV/0!</v>
      </c>
    </row>
    <row r="102" spans="1:14" x14ac:dyDescent="0.2">
      <c r="A102" s="7">
        <f>'Sheet 2. County Level Data'!A100</f>
        <v>0</v>
      </c>
      <c r="B102" s="29" t="e">
        <f>'Sheet 3. Total Amounts '!B102/'Formula Calculations (LOCKED)'!B102</f>
        <v>#DIV/0!</v>
      </c>
      <c r="C102" s="52" t="e">
        <f>'Sheet 3. Total Amounts '!C102/'Formula Calculations (LOCKED)'!$B102</f>
        <v>#DIV/0!</v>
      </c>
      <c r="D102" s="52" t="e">
        <f>'Sheet 3. Total Amounts '!D102/'Formula Calculations (LOCKED)'!$B102</f>
        <v>#DIV/0!</v>
      </c>
      <c r="E102" s="52" t="e">
        <f>'Sheet 3. Total Amounts '!E102/'Formula Calculations (LOCKED)'!$B102</f>
        <v>#DIV/0!</v>
      </c>
      <c r="F102" s="52" t="e">
        <f>'Sheet 3. Total Amounts '!F102/'Formula Calculations (LOCKED)'!$B102</f>
        <v>#DIV/0!</v>
      </c>
      <c r="G102" s="52" t="e">
        <f>'Sheet 3. Total Amounts '!G102/'Formula Calculations (LOCKED)'!$B102</f>
        <v>#DIV/0!</v>
      </c>
      <c r="H102" s="52" t="e">
        <f>'Sheet 3. Total Amounts '!H102/'Formula Calculations (LOCKED)'!$B102</f>
        <v>#DIV/0!</v>
      </c>
      <c r="I102" s="52" t="e">
        <f>'Sheet 3. Total Amounts '!I102/'Formula Calculations (LOCKED)'!$B102</f>
        <v>#DIV/0!</v>
      </c>
      <c r="J102" s="52" t="e">
        <f>'Sheet 3. Total Amounts '!J102/'Formula Calculations (LOCKED)'!$B102</f>
        <v>#DIV/0!</v>
      </c>
      <c r="K102" s="52" t="e">
        <f>'Sheet 3. Total Amounts '!K102/'Formula Calculations (LOCKED)'!$B102</f>
        <v>#DIV/0!</v>
      </c>
      <c r="L102" s="29" t="e">
        <f>'Sheet 3. Total Amounts '!L102/'Formula Calculations (LOCKED)'!B102</f>
        <v>#DIV/0!</v>
      </c>
      <c r="M102" s="29" t="e">
        <f>'Sheet 3. Total Amounts '!M102/'Formula Calculations (LOCKED)'!B102</f>
        <v>#DIV/0!</v>
      </c>
      <c r="N102" s="51" t="e">
        <f>'Sheet 3. Total Amounts '!N102/'Formula Calculations (LOCKED)'!B102</f>
        <v>#DIV/0!</v>
      </c>
    </row>
    <row r="103" spans="1:14" x14ac:dyDescent="0.2">
      <c r="A103" s="7">
        <f>'Sheet 2. County Level Data'!A101</f>
        <v>0</v>
      </c>
      <c r="B103" s="29" t="e">
        <f>'Sheet 3. Total Amounts '!B103/'Formula Calculations (LOCKED)'!B103</f>
        <v>#DIV/0!</v>
      </c>
      <c r="C103" s="52" t="e">
        <f>'Sheet 3. Total Amounts '!C103/'Formula Calculations (LOCKED)'!$B103</f>
        <v>#DIV/0!</v>
      </c>
      <c r="D103" s="52" t="e">
        <f>'Sheet 3. Total Amounts '!D103/'Formula Calculations (LOCKED)'!$B103</f>
        <v>#DIV/0!</v>
      </c>
      <c r="E103" s="52" t="e">
        <f>'Sheet 3. Total Amounts '!E103/'Formula Calculations (LOCKED)'!$B103</f>
        <v>#DIV/0!</v>
      </c>
      <c r="F103" s="52" t="e">
        <f>'Sheet 3. Total Amounts '!F103/'Formula Calculations (LOCKED)'!$B103</f>
        <v>#DIV/0!</v>
      </c>
      <c r="G103" s="52" t="e">
        <f>'Sheet 3. Total Amounts '!G103/'Formula Calculations (LOCKED)'!$B103</f>
        <v>#DIV/0!</v>
      </c>
      <c r="H103" s="52" t="e">
        <f>'Sheet 3. Total Amounts '!H103/'Formula Calculations (LOCKED)'!$B103</f>
        <v>#DIV/0!</v>
      </c>
      <c r="I103" s="52" t="e">
        <f>'Sheet 3. Total Amounts '!I103/'Formula Calculations (LOCKED)'!$B103</f>
        <v>#DIV/0!</v>
      </c>
      <c r="J103" s="52" t="e">
        <f>'Sheet 3. Total Amounts '!J103/'Formula Calculations (LOCKED)'!$B103</f>
        <v>#DIV/0!</v>
      </c>
      <c r="K103" s="52" t="e">
        <f>'Sheet 3. Total Amounts '!K103/'Formula Calculations (LOCKED)'!$B103</f>
        <v>#DIV/0!</v>
      </c>
      <c r="L103" s="29" t="e">
        <f>'Sheet 3. Total Amounts '!L103/'Formula Calculations (LOCKED)'!B103</f>
        <v>#DIV/0!</v>
      </c>
      <c r="M103" s="29" t="e">
        <f>'Sheet 3. Total Amounts '!M103/'Formula Calculations (LOCKED)'!B103</f>
        <v>#DIV/0!</v>
      </c>
      <c r="N103" s="51" t="e">
        <f>'Sheet 3. Total Amounts '!N103/'Formula Calculations (LOCKED)'!B103</f>
        <v>#DIV/0!</v>
      </c>
    </row>
    <row r="104" spans="1:14" x14ac:dyDescent="0.2">
      <c r="A104" s="7">
        <f>'Sheet 2. County Level Data'!A102</f>
        <v>0</v>
      </c>
      <c r="B104" s="29" t="e">
        <f>'Sheet 3. Total Amounts '!B104/'Formula Calculations (LOCKED)'!B104</f>
        <v>#DIV/0!</v>
      </c>
      <c r="C104" s="52" t="e">
        <f>'Sheet 3. Total Amounts '!C104/'Formula Calculations (LOCKED)'!$B104</f>
        <v>#DIV/0!</v>
      </c>
      <c r="D104" s="52" t="e">
        <f>'Sheet 3. Total Amounts '!D104/'Formula Calculations (LOCKED)'!$B104</f>
        <v>#DIV/0!</v>
      </c>
      <c r="E104" s="52" t="e">
        <f>'Sheet 3. Total Amounts '!E104/'Formula Calculations (LOCKED)'!$B104</f>
        <v>#DIV/0!</v>
      </c>
      <c r="F104" s="52" t="e">
        <f>'Sheet 3. Total Amounts '!F104/'Formula Calculations (LOCKED)'!$B104</f>
        <v>#DIV/0!</v>
      </c>
      <c r="G104" s="52" t="e">
        <f>'Sheet 3. Total Amounts '!G104/'Formula Calculations (LOCKED)'!$B104</f>
        <v>#DIV/0!</v>
      </c>
      <c r="H104" s="52" t="e">
        <f>'Sheet 3. Total Amounts '!H104/'Formula Calculations (LOCKED)'!$B104</f>
        <v>#DIV/0!</v>
      </c>
      <c r="I104" s="52" t="e">
        <f>'Sheet 3. Total Amounts '!I104/'Formula Calculations (LOCKED)'!$B104</f>
        <v>#DIV/0!</v>
      </c>
      <c r="J104" s="52" t="e">
        <f>'Sheet 3. Total Amounts '!J104/'Formula Calculations (LOCKED)'!$B104</f>
        <v>#DIV/0!</v>
      </c>
      <c r="K104" s="52" t="e">
        <f>'Sheet 3. Total Amounts '!K104/'Formula Calculations (LOCKED)'!$B104</f>
        <v>#DIV/0!</v>
      </c>
      <c r="L104" s="29" t="e">
        <f>'Sheet 3. Total Amounts '!L104/'Formula Calculations (LOCKED)'!B104</f>
        <v>#DIV/0!</v>
      </c>
      <c r="M104" s="29" t="e">
        <f>'Sheet 3. Total Amounts '!M104/'Formula Calculations (LOCKED)'!B104</f>
        <v>#DIV/0!</v>
      </c>
      <c r="N104" s="51" t="e">
        <f>'Sheet 3. Total Amounts '!N104/'Formula Calculations (LOCKED)'!B104</f>
        <v>#DIV/0!</v>
      </c>
    </row>
    <row r="105" spans="1:14" x14ac:dyDescent="0.2">
      <c r="A105" s="7">
        <f>'Sheet 2. County Level Data'!A103</f>
        <v>0</v>
      </c>
      <c r="B105" s="29" t="e">
        <f>'Sheet 3. Total Amounts '!B105/'Formula Calculations (LOCKED)'!B105</f>
        <v>#DIV/0!</v>
      </c>
      <c r="C105" s="52" t="e">
        <f>'Sheet 3. Total Amounts '!C105/'Formula Calculations (LOCKED)'!$B105</f>
        <v>#DIV/0!</v>
      </c>
      <c r="D105" s="52" t="e">
        <f>'Sheet 3. Total Amounts '!D105/'Formula Calculations (LOCKED)'!$B105</f>
        <v>#DIV/0!</v>
      </c>
      <c r="E105" s="52" t="e">
        <f>'Sheet 3. Total Amounts '!E105/'Formula Calculations (LOCKED)'!$B105</f>
        <v>#DIV/0!</v>
      </c>
      <c r="F105" s="52" t="e">
        <f>'Sheet 3. Total Amounts '!F105/'Formula Calculations (LOCKED)'!$B105</f>
        <v>#DIV/0!</v>
      </c>
      <c r="G105" s="52" t="e">
        <f>'Sheet 3. Total Amounts '!G105/'Formula Calculations (LOCKED)'!$B105</f>
        <v>#DIV/0!</v>
      </c>
      <c r="H105" s="52" t="e">
        <f>'Sheet 3. Total Amounts '!H105/'Formula Calculations (LOCKED)'!$B105</f>
        <v>#DIV/0!</v>
      </c>
      <c r="I105" s="52" t="e">
        <f>'Sheet 3. Total Amounts '!I105/'Formula Calculations (LOCKED)'!$B105</f>
        <v>#DIV/0!</v>
      </c>
      <c r="J105" s="52" t="e">
        <f>'Sheet 3. Total Amounts '!J105/'Formula Calculations (LOCKED)'!$B105</f>
        <v>#DIV/0!</v>
      </c>
      <c r="K105" s="52" t="e">
        <f>'Sheet 3. Total Amounts '!K105/'Formula Calculations (LOCKED)'!$B105</f>
        <v>#DIV/0!</v>
      </c>
      <c r="L105" s="29" t="e">
        <f>'Sheet 3. Total Amounts '!L105/'Formula Calculations (LOCKED)'!B105</f>
        <v>#DIV/0!</v>
      </c>
      <c r="M105" s="29" t="e">
        <f>'Sheet 3. Total Amounts '!M105/'Formula Calculations (LOCKED)'!B105</f>
        <v>#DIV/0!</v>
      </c>
      <c r="N105" s="51" t="e">
        <f>'Sheet 3. Total Amounts '!N105/'Formula Calculations (LOCKED)'!B105</f>
        <v>#DIV/0!</v>
      </c>
    </row>
    <row r="106" spans="1:14" x14ac:dyDescent="0.2">
      <c r="A106" s="7">
        <f>'Sheet 2. County Level Data'!A104</f>
        <v>0</v>
      </c>
      <c r="B106" s="29" t="e">
        <f>'Sheet 3. Total Amounts '!B106/'Formula Calculations (LOCKED)'!B106</f>
        <v>#DIV/0!</v>
      </c>
      <c r="C106" s="52" t="e">
        <f>'Sheet 3. Total Amounts '!C106/'Formula Calculations (LOCKED)'!$B106</f>
        <v>#DIV/0!</v>
      </c>
      <c r="D106" s="52" t="e">
        <f>'Sheet 3. Total Amounts '!D106/'Formula Calculations (LOCKED)'!$B106</f>
        <v>#DIV/0!</v>
      </c>
      <c r="E106" s="52" t="e">
        <f>'Sheet 3. Total Amounts '!E106/'Formula Calculations (LOCKED)'!$B106</f>
        <v>#DIV/0!</v>
      </c>
      <c r="F106" s="52" t="e">
        <f>'Sheet 3. Total Amounts '!F106/'Formula Calculations (LOCKED)'!$B106</f>
        <v>#DIV/0!</v>
      </c>
      <c r="G106" s="52" t="e">
        <f>'Sheet 3. Total Amounts '!G106/'Formula Calculations (LOCKED)'!$B106</f>
        <v>#DIV/0!</v>
      </c>
      <c r="H106" s="52" t="e">
        <f>'Sheet 3. Total Amounts '!H106/'Formula Calculations (LOCKED)'!$B106</f>
        <v>#DIV/0!</v>
      </c>
      <c r="I106" s="52" t="e">
        <f>'Sheet 3. Total Amounts '!I106/'Formula Calculations (LOCKED)'!$B106</f>
        <v>#DIV/0!</v>
      </c>
      <c r="J106" s="52" t="e">
        <f>'Sheet 3. Total Amounts '!J106/'Formula Calculations (LOCKED)'!$B106</f>
        <v>#DIV/0!</v>
      </c>
      <c r="K106" s="52" t="e">
        <f>'Sheet 3. Total Amounts '!K106/'Formula Calculations (LOCKED)'!$B106</f>
        <v>#DIV/0!</v>
      </c>
      <c r="L106" s="29" t="e">
        <f>'Sheet 3. Total Amounts '!L106/'Formula Calculations (LOCKED)'!B106</f>
        <v>#DIV/0!</v>
      </c>
      <c r="M106" s="29" t="e">
        <f>'Sheet 3. Total Amounts '!M106/'Formula Calculations (LOCKED)'!B106</f>
        <v>#DIV/0!</v>
      </c>
      <c r="N106" s="51" t="e">
        <f>'Sheet 3. Total Amounts '!N106/'Formula Calculations (LOCKED)'!B106</f>
        <v>#DIV/0!</v>
      </c>
    </row>
    <row r="107" spans="1:14" x14ac:dyDescent="0.2">
      <c r="A107" s="7">
        <f>'Sheet 2. County Level Data'!A105</f>
        <v>0</v>
      </c>
      <c r="B107" s="29" t="e">
        <f>'Sheet 3. Total Amounts '!B107/'Formula Calculations (LOCKED)'!B107</f>
        <v>#DIV/0!</v>
      </c>
      <c r="C107" s="52" t="e">
        <f>'Sheet 3. Total Amounts '!C107/'Formula Calculations (LOCKED)'!$B107</f>
        <v>#DIV/0!</v>
      </c>
      <c r="D107" s="52" t="e">
        <f>'Sheet 3. Total Amounts '!D107/'Formula Calculations (LOCKED)'!$B107</f>
        <v>#DIV/0!</v>
      </c>
      <c r="E107" s="52" t="e">
        <f>'Sheet 3. Total Amounts '!E107/'Formula Calculations (LOCKED)'!$B107</f>
        <v>#DIV/0!</v>
      </c>
      <c r="F107" s="52" t="e">
        <f>'Sheet 3. Total Amounts '!F107/'Formula Calculations (LOCKED)'!$B107</f>
        <v>#DIV/0!</v>
      </c>
      <c r="G107" s="52" t="e">
        <f>'Sheet 3. Total Amounts '!G107/'Formula Calculations (LOCKED)'!$B107</f>
        <v>#DIV/0!</v>
      </c>
      <c r="H107" s="52" t="e">
        <f>'Sheet 3. Total Amounts '!H107/'Formula Calculations (LOCKED)'!$B107</f>
        <v>#DIV/0!</v>
      </c>
      <c r="I107" s="52" t="e">
        <f>'Sheet 3. Total Amounts '!I107/'Formula Calculations (LOCKED)'!$B107</f>
        <v>#DIV/0!</v>
      </c>
      <c r="J107" s="52" t="e">
        <f>'Sheet 3. Total Amounts '!J107/'Formula Calculations (LOCKED)'!$B107</f>
        <v>#DIV/0!</v>
      </c>
      <c r="K107" s="52" t="e">
        <f>'Sheet 3. Total Amounts '!K107/'Formula Calculations (LOCKED)'!$B107</f>
        <v>#DIV/0!</v>
      </c>
      <c r="L107" s="29" t="e">
        <f>'Sheet 3. Total Amounts '!L107/'Formula Calculations (LOCKED)'!B107</f>
        <v>#DIV/0!</v>
      </c>
      <c r="M107" s="29" t="e">
        <f>'Sheet 3. Total Amounts '!M107/'Formula Calculations (LOCKED)'!B107</f>
        <v>#DIV/0!</v>
      </c>
      <c r="N107" s="51" t="e">
        <f>'Sheet 3. Total Amounts '!N107/'Formula Calculations (LOCKED)'!B107</f>
        <v>#DIV/0!</v>
      </c>
    </row>
    <row r="108" spans="1:14" x14ac:dyDescent="0.2">
      <c r="A108" s="7">
        <f>'Sheet 2. County Level Data'!A106</f>
        <v>0</v>
      </c>
      <c r="B108" s="29" t="e">
        <f>'Sheet 3. Total Amounts '!B108/'Formula Calculations (LOCKED)'!B108</f>
        <v>#DIV/0!</v>
      </c>
      <c r="C108" s="52" t="e">
        <f>'Sheet 3. Total Amounts '!C108/'Formula Calculations (LOCKED)'!$B108</f>
        <v>#DIV/0!</v>
      </c>
      <c r="D108" s="52" t="e">
        <f>'Sheet 3. Total Amounts '!D108/'Formula Calculations (LOCKED)'!$B108</f>
        <v>#DIV/0!</v>
      </c>
      <c r="E108" s="52" t="e">
        <f>'Sheet 3. Total Amounts '!E108/'Formula Calculations (LOCKED)'!$B108</f>
        <v>#DIV/0!</v>
      </c>
      <c r="F108" s="52" t="e">
        <f>'Sheet 3. Total Amounts '!F108/'Formula Calculations (LOCKED)'!$B108</f>
        <v>#DIV/0!</v>
      </c>
      <c r="G108" s="52" t="e">
        <f>'Sheet 3. Total Amounts '!G108/'Formula Calculations (LOCKED)'!$B108</f>
        <v>#DIV/0!</v>
      </c>
      <c r="H108" s="52" t="e">
        <f>'Sheet 3. Total Amounts '!H108/'Formula Calculations (LOCKED)'!$B108</f>
        <v>#DIV/0!</v>
      </c>
      <c r="I108" s="52" t="e">
        <f>'Sheet 3. Total Amounts '!I108/'Formula Calculations (LOCKED)'!$B108</f>
        <v>#DIV/0!</v>
      </c>
      <c r="J108" s="52" t="e">
        <f>'Sheet 3. Total Amounts '!J108/'Formula Calculations (LOCKED)'!$B108</f>
        <v>#DIV/0!</v>
      </c>
      <c r="K108" s="52" t="e">
        <f>'Sheet 3. Total Amounts '!K108/'Formula Calculations (LOCKED)'!$B108</f>
        <v>#DIV/0!</v>
      </c>
      <c r="L108" s="29" t="e">
        <f>'Sheet 3. Total Amounts '!L108/'Formula Calculations (LOCKED)'!B108</f>
        <v>#DIV/0!</v>
      </c>
      <c r="M108" s="29" t="e">
        <f>'Sheet 3. Total Amounts '!M108/'Formula Calculations (LOCKED)'!B108</f>
        <v>#DIV/0!</v>
      </c>
      <c r="N108" s="51" t="e">
        <f>'Sheet 3. Total Amounts '!N108/'Formula Calculations (LOCKED)'!B108</f>
        <v>#DIV/0!</v>
      </c>
    </row>
    <row r="109" spans="1:14" x14ac:dyDescent="0.2">
      <c r="A109" s="7">
        <f>'Sheet 2. County Level Data'!A107</f>
        <v>0</v>
      </c>
      <c r="B109" s="29" t="e">
        <f>'Sheet 3. Total Amounts '!B109/'Formula Calculations (LOCKED)'!B109</f>
        <v>#DIV/0!</v>
      </c>
      <c r="C109" s="52" t="e">
        <f>'Sheet 3. Total Amounts '!C109/'Formula Calculations (LOCKED)'!$B109</f>
        <v>#DIV/0!</v>
      </c>
      <c r="D109" s="52" t="e">
        <f>'Sheet 3. Total Amounts '!D109/'Formula Calculations (LOCKED)'!$B109</f>
        <v>#DIV/0!</v>
      </c>
      <c r="E109" s="52" t="e">
        <f>'Sheet 3. Total Amounts '!E109/'Formula Calculations (LOCKED)'!$B109</f>
        <v>#DIV/0!</v>
      </c>
      <c r="F109" s="52" t="e">
        <f>'Sheet 3. Total Amounts '!F109/'Formula Calculations (LOCKED)'!$B109</f>
        <v>#DIV/0!</v>
      </c>
      <c r="G109" s="52" t="e">
        <f>'Sheet 3. Total Amounts '!G109/'Formula Calculations (LOCKED)'!$B109</f>
        <v>#DIV/0!</v>
      </c>
      <c r="H109" s="52" t="e">
        <f>'Sheet 3. Total Amounts '!H109/'Formula Calculations (LOCKED)'!$B109</f>
        <v>#DIV/0!</v>
      </c>
      <c r="I109" s="52" t="e">
        <f>'Sheet 3. Total Amounts '!I109/'Formula Calculations (LOCKED)'!$B109</f>
        <v>#DIV/0!</v>
      </c>
      <c r="J109" s="52" t="e">
        <f>'Sheet 3. Total Amounts '!J109/'Formula Calculations (LOCKED)'!$B109</f>
        <v>#DIV/0!</v>
      </c>
      <c r="K109" s="52" t="e">
        <f>'Sheet 3. Total Amounts '!K109/'Formula Calculations (LOCKED)'!$B109</f>
        <v>#DIV/0!</v>
      </c>
      <c r="L109" s="29" t="e">
        <f>'Sheet 3. Total Amounts '!L109/'Formula Calculations (LOCKED)'!B109</f>
        <v>#DIV/0!</v>
      </c>
      <c r="M109" s="29" t="e">
        <f>'Sheet 3. Total Amounts '!M109/'Formula Calculations (LOCKED)'!B109</f>
        <v>#DIV/0!</v>
      </c>
      <c r="N109" s="51" t="e">
        <f>'Sheet 3. Total Amounts '!N109/'Formula Calculations (LOCKED)'!B109</f>
        <v>#DIV/0!</v>
      </c>
    </row>
    <row r="110" spans="1:14" x14ac:dyDescent="0.2">
      <c r="A110" s="7">
        <f>'Sheet 2. County Level Data'!A108</f>
        <v>0</v>
      </c>
      <c r="B110" s="29" t="e">
        <f>'Sheet 3. Total Amounts '!B110/'Formula Calculations (LOCKED)'!B110</f>
        <v>#DIV/0!</v>
      </c>
      <c r="C110" s="52" t="e">
        <f>'Sheet 3. Total Amounts '!C110/'Formula Calculations (LOCKED)'!$B110</f>
        <v>#DIV/0!</v>
      </c>
      <c r="D110" s="52" t="e">
        <f>'Sheet 3. Total Amounts '!D110/'Formula Calculations (LOCKED)'!$B110</f>
        <v>#DIV/0!</v>
      </c>
      <c r="E110" s="52" t="e">
        <f>'Sheet 3. Total Amounts '!E110/'Formula Calculations (LOCKED)'!$B110</f>
        <v>#DIV/0!</v>
      </c>
      <c r="F110" s="52" t="e">
        <f>'Sheet 3. Total Amounts '!F110/'Formula Calculations (LOCKED)'!$B110</f>
        <v>#DIV/0!</v>
      </c>
      <c r="G110" s="52" t="e">
        <f>'Sheet 3. Total Amounts '!G110/'Formula Calculations (LOCKED)'!$B110</f>
        <v>#DIV/0!</v>
      </c>
      <c r="H110" s="52" t="e">
        <f>'Sheet 3. Total Amounts '!H110/'Formula Calculations (LOCKED)'!$B110</f>
        <v>#DIV/0!</v>
      </c>
      <c r="I110" s="52" t="e">
        <f>'Sheet 3. Total Amounts '!I110/'Formula Calculations (LOCKED)'!$B110</f>
        <v>#DIV/0!</v>
      </c>
      <c r="J110" s="52" t="e">
        <f>'Sheet 3. Total Amounts '!J110/'Formula Calculations (LOCKED)'!$B110</f>
        <v>#DIV/0!</v>
      </c>
      <c r="K110" s="52" t="e">
        <f>'Sheet 3. Total Amounts '!K110/'Formula Calculations (LOCKED)'!$B110</f>
        <v>#DIV/0!</v>
      </c>
      <c r="L110" s="29" t="e">
        <f>'Sheet 3. Total Amounts '!L110/'Formula Calculations (LOCKED)'!B110</f>
        <v>#DIV/0!</v>
      </c>
      <c r="M110" s="29" t="e">
        <f>'Sheet 3. Total Amounts '!M110/'Formula Calculations (LOCKED)'!B110</f>
        <v>#DIV/0!</v>
      </c>
      <c r="N110" s="51" t="e">
        <f>'Sheet 3. Total Amounts '!N110/'Formula Calculations (LOCKED)'!B110</f>
        <v>#DIV/0!</v>
      </c>
    </row>
    <row r="111" spans="1:14" x14ac:dyDescent="0.2">
      <c r="A111" s="7">
        <f>'Sheet 2. County Level Data'!A109</f>
        <v>0</v>
      </c>
      <c r="B111" s="29" t="e">
        <f>'Sheet 3. Total Amounts '!B111/'Formula Calculations (LOCKED)'!B111</f>
        <v>#DIV/0!</v>
      </c>
      <c r="C111" s="52" t="e">
        <f>'Sheet 3. Total Amounts '!C111/'Formula Calculations (LOCKED)'!$B111</f>
        <v>#DIV/0!</v>
      </c>
      <c r="D111" s="52" t="e">
        <f>'Sheet 3. Total Amounts '!D111/'Formula Calculations (LOCKED)'!$B111</f>
        <v>#DIV/0!</v>
      </c>
      <c r="E111" s="52" t="e">
        <f>'Sheet 3. Total Amounts '!E111/'Formula Calculations (LOCKED)'!$B111</f>
        <v>#DIV/0!</v>
      </c>
      <c r="F111" s="52" t="e">
        <f>'Sheet 3. Total Amounts '!F111/'Formula Calculations (LOCKED)'!$B111</f>
        <v>#DIV/0!</v>
      </c>
      <c r="G111" s="52" t="e">
        <f>'Sheet 3. Total Amounts '!G111/'Formula Calculations (LOCKED)'!$B111</f>
        <v>#DIV/0!</v>
      </c>
      <c r="H111" s="52" t="e">
        <f>'Sheet 3. Total Amounts '!H111/'Formula Calculations (LOCKED)'!$B111</f>
        <v>#DIV/0!</v>
      </c>
      <c r="I111" s="52" t="e">
        <f>'Sheet 3. Total Amounts '!I111/'Formula Calculations (LOCKED)'!$B111</f>
        <v>#DIV/0!</v>
      </c>
      <c r="J111" s="52" t="e">
        <f>'Sheet 3. Total Amounts '!J111/'Formula Calculations (LOCKED)'!$B111</f>
        <v>#DIV/0!</v>
      </c>
      <c r="K111" s="52" t="e">
        <f>'Sheet 3. Total Amounts '!K111/'Formula Calculations (LOCKED)'!$B111</f>
        <v>#DIV/0!</v>
      </c>
      <c r="L111" s="29" t="e">
        <f>'Sheet 3. Total Amounts '!L111/'Formula Calculations (LOCKED)'!B111</f>
        <v>#DIV/0!</v>
      </c>
      <c r="M111" s="29" t="e">
        <f>'Sheet 3. Total Amounts '!M111/'Formula Calculations (LOCKED)'!B111</f>
        <v>#DIV/0!</v>
      </c>
      <c r="N111" s="51" t="e">
        <f>'Sheet 3. Total Amounts '!N111/'Formula Calculations (LOCKED)'!B111</f>
        <v>#DIV/0!</v>
      </c>
    </row>
    <row r="112" spans="1:14" x14ac:dyDescent="0.2">
      <c r="A112" s="7">
        <f>'Sheet 2. County Level Data'!A110</f>
        <v>0</v>
      </c>
      <c r="B112" s="29" t="e">
        <f>'Sheet 3. Total Amounts '!B112/'Formula Calculations (LOCKED)'!B112</f>
        <v>#DIV/0!</v>
      </c>
      <c r="C112" s="52" t="e">
        <f>'Sheet 3. Total Amounts '!C112/'Formula Calculations (LOCKED)'!$B112</f>
        <v>#DIV/0!</v>
      </c>
      <c r="D112" s="52" t="e">
        <f>'Sheet 3. Total Amounts '!D112/'Formula Calculations (LOCKED)'!$B112</f>
        <v>#DIV/0!</v>
      </c>
      <c r="E112" s="52" t="e">
        <f>'Sheet 3. Total Amounts '!E112/'Formula Calculations (LOCKED)'!$B112</f>
        <v>#DIV/0!</v>
      </c>
      <c r="F112" s="52" t="e">
        <f>'Sheet 3. Total Amounts '!F112/'Formula Calculations (LOCKED)'!$B112</f>
        <v>#DIV/0!</v>
      </c>
      <c r="G112" s="52" t="e">
        <f>'Sheet 3. Total Amounts '!G112/'Formula Calculations (LOCKED)'!$B112</f>
        <v>#DIV/0!</v>
      </c>
      <c r="H112" s="52" t="e">
        <f>'Sheet 3. Total Amounts '!H112/'Formula Calculations (LOCKED)'!$B112</f>
        <v>#DIV/0!</v>
      </c>
      <c r="I112" s="52" t="e">
        <f>'Sheet 3. Total Amounts '!I112/'Formula Calculations (LOCKED)'!$B112</f>
        <v>#DIV/0!</v>
      </c>
      <c r="J112" s="52" t="e">
        <f>'Sheet 3. Total Amounts '!J112/'Formula Calculations (LOCKED)'!$B112</f>
        <v>#DIV/0!</v>
      </c>
      <c r="K112" s="52" t="e">
        <f>'Sheet 3. Total Amounts '!K112/'Formula Calculations (LOCKED)'!$B112</f>
        <v>#DIV/0!</v>
      </c>
      <c r="L112" s="29" t="e">
        <f>'Sheet 3. Total Amounts '!L112/'Formula Calculations (LOCKED)'!B112</f>
        <v>#DIV/0!</v>
      </c>
      <c r="M112" s="29" t="e">
        <f>'Sheet 3. Total Amounts '!M112/'Formula Calculations (LOCKED)'!B112</f>
        <v>#DIV/0!</v>
      </c>
      <c r="N112" s="51" t="e">
        <f>'Sheet 3. Total Amounts '!N112/'Formula Calculations (LOCKED)'!B112</f>
        <v>#DIV/0!</v>
      </c>
    </row>
    <row r="113" spans="1:14" x14ac:dyDescent="0.2">
      <c r="A113" s="7">
        <f>'Sheet 2. County Level Data'!A111</f>
        <v>0</v>
      </c>
      <c r="B113" s="29" t="e">
        <f>'Sheet 3. Total Amounts '!B113/'Formula Calculations (LOCKED)'!B113</f>
        <v>#DIV/0!</v>
      </c>
      <c r="C113" s="52" t="e">
        <f>'Sheet 3. Total Amounts '!C113/'Formula Calculations (LOCKED)'!$B113</f>
        <v>#DIV/0!</v>
      </c>
      <c r="D113" s="52" t="e">
        <f>'Sheet 3. Total Amounts '!D113/'Formula Calculations (LOCKED)'!$B113</f>
        <v>#DIV/0!</v>
      </c>
      <c r="E113" s="52" t="e">
        <f>'Sheet 3. Total Amounts '!E113/'Formula Calculations (LOCKED)'!$B113</f>
        <v>#DIV/0!</v>
      </c>
      <c r="F113" s="52" t="e">
        <f>'Sheet 3. Total Amounts '!F113/'Formula Calculations (LOCKED)'!$B113</f>
        <v>#DIV/0!</v>
      </c>
      <c r="G113" s="52" t="e">
        <f>'Sheet 3. Total Amounts '!G113/'Formula Calculations (LOCKED)'!$B113</f>
        <v>#DIV/0!</v>
      </c>
      <c r="H113" s="52" t="e">
        <f>'Sheet 3. Total Amounts '!H113/'Formula Calculations (LOCKED)'!$B113</f>
        <v>#DIV/0!</v>
      </c>
      <c r="I113" s="52" t="e">
        <f>'Sheet 3. Total Amounts '!I113/'Formula Calculations (LOCKED)'!$B113</f>
        <v>#DIV/0!</v>
      </c>
      <c r="J113" s="52" t="e">
        <f>'Sheet 3. Total Amounts '!J113/'Formula Calculations (LOCKED)'!$B113</f>
        <v>#DIV/0!</v>
      </c>
      <c r="K113" s="52" t="e">
        <f>'Sheet 3. Total Amounts '!K113/'Formula Calculations (LOCKED)'!$B113</f>
        <v>#DIV/0!</v>
      </c>
      <c r="L113" s="29" t="e">
        <f>'Sheet 3. Total Amounts '!L113/'Formula Calculations (LOCKED)'!B113</f>
        <v>#DIV/0!</v>
      </c>
      <c r="M113" s="29" t="e">
        <f>'Sheet 3. Total Amounts '!M113/'Formula Calculations (LOCKED)'!B113</f>
        <v>#DIV/0!</v>
      </c>
      <c r="N113" s="51" t="e">
        <f>'Sheet 3. Total Amounts '!N113/'Formula Calculations (LOCKED)'!B113</f>
        <v>#DIV/0!</v>
      </c>
    </row>
    <row r="114" spans="1:14" x14ac:dyDescent="0.2">
      <c r="A114" s="7">
        <f>'Sheet 2. County Level Data'!A112</f>
        <v>0</v>
      </c>
      <c r="B114" s="29" t="e">
        <f>'Sheet 3. Total Amounts '!B114/'Formula Calculations (LOCKED)'!B114</f>
        <v>#DIV/0!</v>
      </c>
      <c r="C114" s="52" t="e">
        <f>'Sheet 3. Total Amounts '!C114/'Formula Calculations (LOCKED)'!$B114</f>
        <v>#DIV/0!</v>
      </c>
      <c r="D114" s="52" t="e">
        <f>'Sheet 3. Total Amounts '!D114/'Formula Calculations (LOCKED)'!$B114</f>
        <v>#DIV/0!</v>
      </c>
      <c r="E114" s="52" t="e">
        <f>'Sheet 3. Total Amounts '!E114/'Formula Calculations (LOCKED)'!$B114</f>
        <v>#DIV/0!</v>
      </c>
      <c r="F114" s="52" t="e">
        <f>'Sheet 3. Total Amounts '!F114/'Formula Calculations (LOCKED)'!$B114</f>
        <v>#DIV/0!</v>
      </c>
      <c r="G114" s="52" t="e">
        <f>'Sheet 3. Total Amounts '!G114/'Formula Calculations (LOCKED)'!$B114</f>
        <v>#DIV/0!</v>
      </c>
      <c r="H114" s="52" t="e">
        <f>'Sheet 3. Total Amounts '!H114/'Formula Calculations (LOCKED)'!$B114</f>
        <v>#DIV/0!</v>
      </c>
      <c r="I114" s="52" t="e">
        <f>'Sheet 3. Total Amounts '!I114/'Formula Calculations (LOCKED)'!$B114</f>
        <v>#DIV/0!</v>
      </c>
      <c r="J114" s="52" t="e">
        <f>'Sheet 3. Total Amounts '!J114/'Formula Calculations (LOCKED)'!$B114</f>
        <v>#DIV/0!</v>
      </c>
      <c r="K114" s="52" t="e">
        <f>'Sheet 3. Total Amounts '!K114/'Formula Calculations (LOCKED)'!$B114</f>
        <v>#DIV/0!</v>
      </c>
      <c r="L114" s="29" t="e">
        <f>'Sheet 3. Total Amounts '!L114/'Formula Calculations (LOCKED)'!B114</f>
        <v>#DIV/0!</v>
      </c>
      <c r="M114" s="29" t="e">
        <f>'Sheet 3. Total Amounts '!M114/'Formula Calculations (LOCKED)'!B114</f>
        <v>#DIV/0!</v>
      </c>
      <c r="N114" s="51" t="e">
        <f>'Sheet 3. Total Amounts '!N114/'Formula Calculations (LOCKED)'!B114</f>
        <v>#DIV/0!</v>
      </c>
    </row>
    <row r="115" spans="1:14" x14ac:dyDescent="0.2">
      <c r="A115" s="7">
        <f>'Sheet 2. County Level Data'!A113</f>
        <v>0</v>
      </c>
      <c r="B115" s="29" t="e">
        <f>'Sheet 3. Total Amounts '!B115/'Formula Calculations (LOCKED)'!B115</f>
        <v>#DIV/0!</v>
      </c>
      <c r="C115" s="52" t="e">
        <f>'Sheet 3. Total Amounts '!C115/'Formula Calculations (LOCKED)'!$B115</f>
        <v>#DIV/0!</v>
      </c>
      <c r="D115" s="52" t="e">
        <f>'Sheet 3. Total Amounts '!D115/'Formula Calculations (LOCKED)'!$B115</f>
        <v>#DIV/0!</v>
      </c>
      <c r="E115" s="52" t="e">
        <f>'Sheet 3. Total Amounts '!E115/'Formula Calculations (LOCKED)'!$B115</f>
        <v>#DIV/0!</v>
      </c>
      <c r="F115" s="52" t="e">
        <f>'Sheet 3. Total Amounts '!F115/'Formula Calculations (LOCKED)'!$B115</f>
        <v>#DIV/0!</v>
      </c>
      <c r="G115" s="52" t="e">
        <f>'Sheet 3. Total Amounts '!G115/'Formula Calculations (LOCKED)'!$B115</f>
        <v>#DIV/0!</v>
      </c>
      <c r="H115" s="52" t="e">
        <f>'Sheet 3. Total Amounts '!H115/'Formula Calculations (LOCKED)'!$B115</f>
        <v>#DIV/0!</v>
      </c>
      <c r="I115" s="52" t="e">
        <f>'Sheet 3. Total Amounts '!I115/'Formula Calculations (LOCKED)'!$B115</f>
        <v>#DIV/0!</v>
      </c>
      <c r="J115" s="52" t="e">
        <f>'Sheet 3. Total Amounts '!J115/'Formula Calculations (LOCKED)'!$B115</f>
        <v>#DIV/0!</v>
      </c>
      <c r="K115" s="52" t="e">
        <f>'Sheet 3. Total Amounts '!K115/'Formula Calculations (LOCKED)'!$B115</f>
        <v>#DIV/0!</v>
      </c>
      <c r="L115" s="29" t="e">
        <f>'Sheet 3. Total Amounts '!L115/'Formula Calculations (LOCKED)'!B115</f>
        <v>#DIV/0!</v>
      </c>
      <c r="M115" s="29" t="e">
        <f>'Sheet 3. Total Amounts '!M115/'Formula Calculations (LOCKED)'!B115</f>
        <v>#DIV/0!</v>
      </c>
      <c r="N115" s="51" t="e">
        <f>'Sheet 3. Total Amounts '!N115/'Formula Calculations (LOCKED)'!B115</f>
        <v>#DIV/0!</v>
      </c>
    </row>
    <row r="116" spans="1:14" x14ac:dyDescent="0.2">
      <c r="A116" s="7">
        <f>'Sheet 2. County Level Data'!A114</f>
        <v>0</v>
      </c>
      <c r="B116" s="29" t="e">
        <f>'Sheet 3. Total Amounts '!B116/'Formula Calculations (LOCKED)'!B116</f>
        <v>#DIV/0!</v>
      </c>
      <c r="C116" s="52" t="e">
        <f>'Sheet 3. Total Amounts '!C116/'Formula Calculations (LOCKED)'!$B116</f>
        <v>#DIV/0!</v>
      </c>
      <c r="D116" s="52" t="e">
        <f>'Sheet 3. Total Amounts '!D116/'Formula Calculations (LOCKED)'!$B116</f>
        <v>#DIV/0!</v>
      </c>
      <c r="E116" s="52" t="e">
        <f>'Sheet 3. Total Amounts '!E116/'Formula Calculations (LOCKED)'!$B116</f>
        <v>#DIV/0!</v>
      </c>
      <c r="F116" s="52" t="e">
        <f>'Sheet 3. Total Amounts '!F116/'Formula Calculations (LOCKED)'!$B116</f>
        <v>#DIV/0!</v>
      </c>
      <c r="G116" s="52" t="e">
        <f>'Sheet 3. Total Amounts '!G116/'Formula Calculations (LOCKED)'!$B116</f>
        <v>#DIV/0!</v>
      </c>
      <c r="H116" s="52" t="e">
        <f>'Sheet 3. Total Amounts '!H116/'Formula Calculations (LOCKED)'!$B116</f>
        <v>#DIV/0!</v>
      </c>
      <c r="I116" s="52" t="e">
        <f>'Sheet 3. Total Amounts '!I116/'Formula Calculations (LOCKED)'!$B116</f>
        <v>#DIV/0!</v>
      </c>
      <c r="J116" s="52" t="e">
        <f>'Sheet 3. Total Amounts '!J116/'Formula Calculations (LOCKED)'!$B116</f>
        <v>#DIV/0!</v>
      </c>
      <c r="K116" s="52" t="e">
        <f>'Sheet 3. Total Amounts '!K116/'Formula Calculations (LOCKED)'!$B116</f>
        <v>#DIV/0!</v>
      </c>
      <c r="L116" s="29" t="e">
        <f>'Sheet 3. Total Amounts '!L116/'Formula Calculations (LOCKED)'!B116</f>
        <v>#DIV/0!</v>
      </c>
      <c r="M116" s="29" t="e">
        <f>'Sheet 3. Total Amounts '!M116/'Formula Calculations (LOCKED)'!B116</f>
        <v>#DIV/0!</v>
      </c>
      <c r="N116" s="51" t="e">
        <f>'Sheet 3. Total Amounts '!N116/'Formula Calculations (LOCKED)'!B116</f>
        <v>#DIV/0!</v>
      </c>
    </row>
    <row r="117" spans="1:14" x14ac:dyDescent="0.2">
      <c r="A117" s="7">
        <f>'Sheet 2. County Level Data'!A115</f>
        <v>0</v>
      </c>
      <c r="B117" s="29" t="e">
        <f>'Sheet 3. Total Amounts '!B117/'Formula Calculations (LOCKED)'!B117</f>
        <v>#DIV/0!</v>
      </c>
      <c r="C117" s="52" t="e">
        <f>'Sheet 3. Total Amounts '!C117/'Formula Calculations (LOCKED)'!$B117</f>
        <v>#DIV/0!</v>
      </c>
      <c r="D117" s="52" t="e">
        <f>'Sheet 3. Total Amounts '!D117/'Formula Calculations (LOCKED)'!$B117</f>
        <v>#DIV/0!</v>
      </c>
      <c r="E117" s="52" t="e">
        <f>'Sheet 3. Total Amounts '!E117/'Formula Calculations (LOCKED)'!$B117</f>
        <v>#DIV/0!</v>
      </c>
      <c r="F117" s="52" t="e">
        <f>'Sheet 3. Total Amounts '!F117/'Formula Calculations (LOCKED)'!$B117</f>
        <v>#DIV/0!</v>
      </c>
      <c r="G117" s="52" t="e">
        <f>'Sheet 3. Total Amounts '!G117/'Formula Calculations (LOCKED)'!$B117</f>
        <v>#DIV/0!</v>
      </c>
      <c r="H117" s="52" t="e">
        <f>'Sheet 3. Total Amounts '!H117/'Formula Calculations (LOCKED)'!$B117</f>
        <v>#DIV/0!</v>
      </c>
      <c r="I117" s="52" t="e">
        <f>'Sheet 3. Total Amounts '!I117/'Formula Calculations (LOCKED)'!$B117</f>
        <v>#DIV/0!</v>
      </c>
      <c r="J117" s="52" t="e">
        <f>'Sheet 3. Total Amounts '!J117/'Formula Calculations (LOCKED)'!$B117</f>
        <v>#DIV/0!</v>
      </c>
      <c r="K117" s="52" t="e">
        <f>'Sheet 3. Total Amounts '!K117/'Formula Calculations (LOCKED)'!$B117</f>
        <v>#DIV/0!</v>
      </c>
      <c r="L117" s="29" t="e">
        <f>'Sheet 3. Total Amounts '!L117/'Formula Calculations (LOCKED)'!B117</f>
        <v>#DIV/0!</v>
      </c>
      <c r="M117" s="29" t="e">
        <f>'Sheet 3. Total Amounts '!M117/'Formula Calculations (LOCKED)'!B117</f>
        <v>#DIV/0!</v>
      </c>
      <c r="N117" s="51" t="e">
        <f>'Sheet 3. Total Amounts '!N117/'Formula Calculations (LOCKED)'!B117</f>
        <v>#DIV/0!</v>
      </c>
    </row>
    <row r="118" spans="1:14" x14ac:dyDescent="0.2">
      <c r="A118" s="7">
        <f>'Sheet 2. County Level Data'!A116</f>
        <v>0</v>
      </c>
      <c r="B118" s="29" t="e">
        <f>'Sheet 3. Total Amounts '!B118/'Formula Calculations (LOCKED)'!B118</f>
        <v>#DIV/0!</v>
      </c>
      <c r="C118" s="52" t="e">
        <f>'Sheet 3. Total Amounts '!C118/'Formula Calculations (LOCKED)'!$B118</f>
        <v>#DIV/0!</v>
      </c>
      <c r="D118" s="52" t="e">
        <f>'Sheet 3. Total Amounts '!D118/'Formula Calculations (LOCKED)'!$B118</f>
        <v>#DIV/0!</v>
      </c>
      <c r="E118" s="52" t="e">
        <f>'Sheet 3. Total Amounts '!E118/'Formula Calculations (LOCKED)'!$B118</f>
        <v>#DIV/0!</v>
      </c>
      <c r="F118" s="52" t="e">
        <f>'Sheet 3. Total Amounts '!F118/'Formula Calculations (LOCKED)'!$B118</f>
        <v>#DIV/0!</v>
      </c>
      <c r="G118" s="52" t="e">
        <f>'Sheet 3. Total Amounts '!G118/'Formula Calculations (LOCKED)'!$B118</f>
        <v>#DIV/0!</v>
      </c>
      <c r="H118" s="52" t="e">
        <f>'Sheet 3. Total Amounts '!H118/'Formula Calculations (LOCKED)'!$B118</f>
        <v>#DIV/0!</v>
      </c>
      <c r="I118" s="52" t="e">
        <f>'Sheet 3. Total Amounts '!I118/'Formula Calculations (LOCKED)'!$B118</f>
        <v>#DIV/0!</v>
      </c>
      <c r="J118" s="52" t="e">
        <f>'Sheet 3. Total Amounts '!J118/'Formula Calculations (LOCKED)'!$B118</f>
        <v>#DIV/0!</v>
      </c>
      <c r="K118" s="52" t="e">
        <f>'Sheet 3. Total Amounts '!K118/'Formula Calculations (LOCKED)'!$B118</f>
        <v>#DIV/0!</v>
      </c>
      <c r="L118" s="29" t="e">
        <f>'Sheet 3. Total Amounts '!L118/'Formula Calculations (LOCKED)'!B118</f>
        <v>#DIV/0!</v>
      </c>
      <c r="M118" s="29" t="e">
        <f>'Sheet 3. Total Amounts '!M118/'Formula Calculations (LOCKED)'!B118</f>
        <v>#DIV/0!</v>
      </c>
      <c r="N118" s="51" t="e">
        <f>'Sheet 3. Total Amounts '!N118/'Formula Calculations (LOCKED)'!B118</f>
        <v>#DIV/0!</v>
      </c>
    </row>
    <row r="119" spans="1:14" x14ac:dyDescent="0.2">
      <c r="A119" s="7">
        <f>'Sheet 2. County Level Data'!A117</f>
        <v>0</v>
      </c>
      <c r="B119" s="29" t="e">
        <f>'Sheet 3. Total Amounts '!B119/'Formula Calculations (LOCKED)'!B119</f>
        <v>#DIV/0!</v>
      </c>
      <c r="C119" s="52" t="e">
        <f>'Sheet 3. Total Amounts '!C119/'Formula Calculations (LOCKED)'!$B119</f>
        <v>#DIV/0!</v>
      </c>
      <c r="D119" s="52" t="e">
        <f>'Sheet 3. Total Amounts '!D119/'Formula Calculations (LOCKED)'!$B119</f>
        <v>#DIV/0!</v>
      </c>
      <c r="E119" s="52" t="e">
        <f>'Sheet 3. Total Amounts '!E119/'Formula Calculations (LOCKED)'!$B119</f>
        <v>#DIV/0!</v>
      </c>
      <c r="F119" s="52" t="e">
        <f>'Sheet 3. Total Amounts '!F119/'Formula Calculations (LOCKED)'!$B119</f>
        <v>#DIV/0!</v>
      </c>
      <c r="G119" s="52" t="e">
        <f>'Sheet 3. Total Amounts '!G119/'Formula Calculations (LOCKED)'!$B119</f>
        <v>#DIV/0!</v>
      </c>
      <c r="H119" s="52" t="e">
        <f>'Sheet 3. Total Amounts '!H119/'Formula Calculations (LOCKED)'!$B119</f>
        <v>#DIV/0!</v>
      </c>
      <c r="I119" s="52" t="e">
        <f>'Sheet 3. Total Amounts '!I119/'Formula Calculations (LOCKED)'!$B119</f>
        <v>#DIV/0!</v>
      </c>
      <c r="J119" s="52" t="e">
        <f>'Sheet 3. Total Amounts '!J119/'Formula Calculations (LOCKED)'!$B119</f>
        <v>#DIV/0!</v>
      </c>
      <c r="K119" s="52" t="e">
        <f>'Sheet 3. Total Amounts '!K119/'Formula Calculations (LOCKED)'!$B119</f>
        <v>#DIV/0!</v>
      </c>
      <c r="L119" s="29" t="e">
        <f>'Sheet 3. Total Amounts '!L119/'Formula Calculations (LOCKED)'!B119</f>
        <v>#DIV/0!</v>
      </c>
      <c r="M119" s="29" t="e">
        <f>'Sheet 3. Total Amounts '!M119/'Formula Calculations (LOCKED)'!B119</f>
        <v>#DIV/0!</v>
      </c>
      <c r="N119" s="51" t="e">
        <f>'Sheet 3. Total Amounts '!N119/'Formula Calculations (LOCKED)'!B119</f>
        <v>#DIV/0!</v>
      </c>
    </row>
    <row r="120" spans="1:14" x14ac:dyDescent="0.2">
      <c r="A120" s="7">
        <f>'Sheet 2. County Level Data'!A118</f>
        <v>0</v>
      </c>
      <c r="B120" s="29" t="e">
        <f>'Sheet 3. Total Amounts '!B120/'Formula Calculations (LOCKED)'!B120</f>
        <v>#DIV/0!</v>
      </c>
      <c r="C120" s="52" t="e">
        <f>'Sheet 3. Total Amounts '!C120/'Formula Calculations (LOCKED)'!$B120</f>
        <v>#DIV/0!</v>
      </c>
      <c r="D120" s="52" t="e">
        <f>'Sheet 3. Total Amounts '!D120/'Formula Calculations (LOCKED)'!$B120</f>
        <v>#DIV/0!</v>
      </c>
      <c r="E120" s="52" t="e">
        <f>'Sheet 3. Total Amounts '!E120/'Formula Calculations (LOCKED)'!$B120</f>
        <v>#DIV/0!</v>
      </c>
      <c r="F120" s="52" t="e">
        <f>'Sheet 3. Total Amounts '!F120/'Formula Calculations (LOCKED)'!$B120</f>
        <v>#DIV/0!</v>
      </c>
      <c r="G120" s="52" t="e">
        <f>'Sheet 3. Total Amounts '!G120/'Formula Calculations (LOCKED)'!$B120</f>
        <v>#DIV/0!</v>
      </c>
      <c r="H120" s="52" t="e">
        <f>'Sheet 3. Total Amounts '!H120/'Formula Calculations (LOCKED)'!$B120</f>
        <v>#DIV/0!</v>
      </c>
      <c r="I120" s="52" t="e">
        <f>'Sheet 3. Total Amounts '!I120/'Formula Calculations (LOCKED)'!$B120</f>
        <v>#DIV/0!</v>
      </c>
      <c r="J120" s="52" t="e">
        <f>'Sheet 3. Total Amounts '!J120/'Formula Calculations (LOCKED)'!$B120</f>
        <v>#DIV/0!</v>
      </c>
      <c r="K120" s="52" t="e">
        <f>'Sheet 3. Total Amounts '!K120/'Formula Calculations (LOCKED)'!$B120</f>
        <v>#DIV/0!</v>
      </c>
      <c r="L120" s="29" t="e">
        <f>'Sheet 3. Total Amounts '!L120/'Formula Calculations (LOCKED)'!B120</f>
        <v>#DIV/0!</v>
      </c>
      <c r="M120" s="29" t="e">
        <f>'Sheet 3. Total Amounts '!M120/'Formula Calculations (LOCKED)'!B120</f>
        <v>#DIV/0!</v>
      </c>
      <c r="N120" s="51" t="e">
        <f>'Sheet 3. Total Amounts '!N120/'Formula Calculations (LOCKED)'!B120</f>
        <v>#DIV/0!</v>
      </c>
    </row>
    <row r="121" spans="1:14" x14ac:dyDescent="0.2">
      <c r="A121" s="7">
        <f>'Sheet 2. County Level Data'!A119</f>
        <v>0</v>
      </c>
      <c r="B121" s="29" t="e">
        <f>'Sheet 3. Total Amounts '!B121/'Formula Calculations (LOCKED)'!B121</f>
        <v>#DIV/0!</v>
      </c>
      <c r="C121" s="52" t="e">
        <f>'Sheet 3. Total Amounts '!C121/'Formula Calculations (LOCKED)'!$B121</f>
        <v>#DIV/0!</v>
      </c>
      <c r="D121" s="52" t="e">
        <f>'Sheet 3. Total Amounts '!D121/'Formula Calculations (LOCKED)'!$B121</f>
        <v>#DIV/0!</v>
      </c>
      <c r="E121" s="52" t="e">
        <f>'Sheet 3. Total Amounts '!E121/'Formula Calculations (LOCKED)'!$B121</f>
        <v>#DIV/0!</v>
      </c>
      <c r="F121" s="52" t="e">
        <f>'Sheet 3. Total Amounts '!F121/'Formula Calculations (LOCKED)'!$B121</f>
        <v>#DIV/0!</v>
      </c>
      <c r="G121" s="52" t="e">
        <f>'Sheet 3. Total Amounts '!G121/'Formula Calculations (LOCKED)'!$B121</f>
        <v>#DIV/0!</v>
      </c>
      <c r="H121" s="52" t="e">
        <f>'Sheet 3. Total Amounts '!H121/'Formula Calculations (LOCKED)'!$B121</f>
        <v>#DIV/0!</v>
      </c>
      <c r="I121" s="52" t="e">
        <f>'Sheet 3. Total Amounts '!I121/'Formula Calculations (LOCKED)'!$B121</f>
        <v>#DIV/0!</v>
      </c>
      <c r="J121" s="52" t="e">
        <f>'Sheet 3. Total Amounts '!J121/'Formula Calculations (LOCKED)'!$B121</f>
        <v>#DIV/0!</v>
      </c>
      <c r="K121" s="52" t="e">
        <f>'Sheet 3. Total Amounts '!K121/'Formula Calculations (LOCKED)'!$B121</f>
        <v>#DIV/0!</v>
      </c>
      <c r="L121" s="29" t="e">
        <f>'Sheet 3. Total Amounts '!L121/'Formula Calculations (LOCKED)'!B121</f>
        <v>#DIV/0!</v>
      </c>
      <c r="M121" s="29" t="e">
        <f>'Sheet 3. Total Amounts '!M121/'Formula Calculations (LOCKED)'!B121</f>
        <v>#DIV/0!</v>
      </c>
      <c r="N121" s="51" t="e">
        <f>'Sheet 3. Total Amounts '!N121/'Formula Calculations (LOCKED)'!B121</f>
        <v>#DIV/0!</v>
      </c>
    </row>
    <row r="122" spans="1:14" x14ac:dyDescent="0.2">
      <c r="A122" s="7">
        <f>'Sheet 2. County Level Data'!A120</f>
        <v>0</v>
      </c>
      <c r="B122" s="29" t="e">
        <f>'Sheet 3. Total Amounts '!B122/'Formula Calculations (LOCKED)'!B122</f>
        <v>#DIV/0!</v>
      </c>
      <c r="C122" s="52" t="e">
        <f>'Sheet 3. Total Amounts '!C122/'Formula Calculations (LOCKED)'!$B122</f>
        <v>#DIV/0!</v>
      </c>
      <c r="D122" s="52" t="e">
        <f>'Sheet 3. Total Amounts '!D122/'Formula Calculations (LOCKED)'!$B122</f>
        <v>#DIV/0!</v>
      </c>
      <c r="E122" s="52" t="e">
        <f>'Sheet 3. Total Amounts '!E122/'Formula Calculations (LOCKED)'!$B122</f>
        <v>#DIV/0!</v>
      </c>
      <c r="F122" s="52" t="e">
        <f>'Sheet 3. Total Amounts '!F122/'Formula Calculations (LOCKED)'!$B122</f>
        <v>#DIV/0!</v>
      </c>
      <c r="G122" s="52" t="e">
        <f>'Sheet 3. Total Amounts '!G122/'Formula Calculations (LOCKED)'!$B122</f>
        <v>#DIV/0!</v>
      </c>
      <c r="H122" s="52" t="e">
        <f>'Sheet 3. Total Amounts '!H122/'Formula Calculations (LOCKED)'!$B122</f>
        <v>#DIV/0!</v>
      </c>
      <c r="I122" s="52" t="e">
        <f>'Sheet 3. Total Amounts '!I122/'Formula Calculations (LOCKED)'!$B122</f>
        <v>#DIV/0!</v>
      </c>
      <c r="J122" s="52" t="e">
        <f>'Sheet 3. Total Amounts '!J122/'Formula Calculations (LOCKED)'!$B122</f>
        <v>#DIV/0!</v>
      </c>
      <c r="K122" s="52" t="e">
        <f>'Sheet 3. Total Amounts '!K122/'Formula Calculations (LOCKED)'!$B122</f>
        <v>#DIV/0!</v>
      </c>
      <c r="L122" s="29" t="e">
        <f>'Sheet 3. Total Amounts '!L122/'Formula Calculations (LOCKED)'!B122</f>
        <v>#DIV/0!</v>
      </c>
      <c r="M122" s="29" t="e">
        <f>'Sheet 3. Total Amounts '!M122/'Formula Calculations (LOCKED)'!B122</f>
        <v>#DIV/0!</v>
      </c>
      <c r="N122" s="51" t="e">
        <f>'Sheet 3. Total Amounts '!N122/'Formula Calculations (LOCKED)'!B122</f>
        <v>#DIV/0!</v>
      </c>
    </row>
    <row r="123" spans="1:14" x14ac:dyDescent="0.2">
      <c r="A123" s="7">
        <f>'Sheet 2. County Level Data'!A121</f>
        <v>0</v>
      </c>
      <c r="B123" s="29" t="e">
        <f>'Sheet 3. Total Amounts '!B123/'Formula Calculations (LOCKED)'!B123</f>
        <v>#DIV/0!</v>
      </c>
      <c r="C123" s="52" t="e">
        <f>'Sheet 3. Total Amounts '!C123/'Formula Calculations (LOCKED)'!$B123</f>
        <v>#DIV/0!</v>
      </c>
      <c r="D123" s="52" t="e">
        <f>'Sheet 3. Total Amounts '!D123/'Formula Calculations (LOCKED)'!$B123</f>
        <v>#DIV/0!</v>
      </c>
      <c r="E123" s="52" t="e">
        <f>'Sheet 3. Total Amounts '!E123/'Formula Calculations (LOCKED)'!$B123</f>
        <v>#DIV/0!</v>
      </c>
      <c r="F123" s="52" t="e">
        <f>'Sheet 3. Total Amounts '!F123/'Formula Calculations (LOCKED)'!$B123</f>
        <v>#DIV/0!</v>
      </c>
      <c r="G123" s="52" t="e">
        <f>'Sheet 3. Total Amounts '!G123/'Formula Calculations (LOCKED)'!$B123</f>
        <v>#DIV/0!</v>
      </c>
      <c r="H123" s="52" t="e">
        <f>'Sheet 3. Total Amounts '!H123/'Formula Calculations (LOCKED)'!$B123</f>
        <v>#DIV/0!</v>
      </c>
      <c r="I123" s="52" t="e">
        <f>'Sheet 3. Total Amounts '!I123/'Formula Calculations (LOCKED)'!$B123</f>
        <v>#DIV/0!</v>
      </c>
      <c r="J123" s="52" t="e">
        <f>'Sheet 3. Total Amounts '!J123/'Formula Calculations (LOCKED)'!$B123</f>
        <v>#DIV/0!</v>
      </c>
      <c r="K123" s="52" t="e">
        <f>'Sheet 3. Total Amounts '!K123/'Formula Calculations (LOCKED)'!$B123</f>
        <v>#DIV/0!</v>
      </c>
      <c r="L123" s="29" t="e">
        <f>'Sheet 3. Total Amounts '!L123/'Formula Calculations (LOCKED)'!B123</f>
        <v>#DIV/0!</v>
      </c>
      <c r="M123" s="29" t="e">
        <f>'Sheet 3. Total Amounts '!M123/'Formula Calculations (LOCKED)'!B123</f>
        <v>#DIV/0!</v>
      </c>
      <c r="N123" s="51" t="e">
        <f>'Sheet 3. Total Amounts '!N123/'Formula Calculations (LOCKED)'!B123</f>
        <v>#DIV/0!</v>
      </c>
    </row>
    <row r="124" spans="1:14" x14ac:dyDescent="0.2">
      <c r="A124" s="7">
        <f>'Sheet 2. County Level Data'!A122</f>
        <v>0</v>
      </c>
      <c r="B124" s="29" t="e">
        <f>'Sheet 3. Total Amounts '!B124/'Formula Calculations (LOCKED)'!B124</f>
        <v>#DIV/0!</v>
      </c>
      <c r="C124" s="52" t="e">
        <f>'Sheet 3. Total Amounts '!C124/'Formula Calculations (LOCKED)'!$B124</f>
        <v>#DIV/0!</v>
      </c>
      <c r="D124" s="52" t="e">
        <f>'Sheet 3. Total Amounts '!D124/'Formula Calculations (LOCKED)'!$B124</f>
        <v>#DIV/0!</v>
      </c>
      <c r="E124" s="52" t="e">
        <f>'Sheet 3. Total Amounts '!E124/'Formula Calculations (LOCKED)'!$B124</f>
        <v>#DIV/0!</v>
      </c>
      <c r="F124" s="52" t="e">
        <f>'Sheet 3. Total Amounts '!F124/'Formula Calculations (LOCKED)'!$B124</f>
        <v>#DIV/0!</v>
      </c>
      <c r="G124" s="52" t="e">
        <f>'Sheet 3. Total Amounts '!G124/'Formula Calculations (LOCKED)'!$B124</f>
        <v>#DIV/0!</v>
      </c>
      <c r="H124" s="52" t="e">
        <f>'Sheet 3. Total Amounts '!H124/'Formula Calculations (LOCKED)'!$B124</f>
        <v>#DIV/0!</v>
      </c>
      <c r="I124" s="52" t="e">
        <f>'Sheet 3. Total Amounts '!I124/'Formula Calculations (LOCKED)'!$B124</f>
        <v>#DIV/0!</v>
      </c>
      <c r="J124" s="52" t="e">
        <f>'Sheet 3. Total Amounts '!J124/'Formula Calculations (LOCKED)'!$B124</f>
        <v>#DIV/0!</v>
      </c>
      <c r="K124" s="52" t="e">
        <f>'Sheet 3. Total Amounts '!K124/'Formula Calculations (LOCKED)'!$B124</f>
        <v>#DIV/0!</v>
      </c>
      <c r="L124" s="29" t="e">
        <f>'Sheet 3. Total Amounts '!L124/'Formula Calculations (LOCKED)'!B124</f>
        <v>#DIV/0!</v>
      </c>
      <c r="M124" s="29" t="e">
        <f>'Sheet 3. Total Amounts '!M124/'Formula Calculations (LOCKED)'!B124</f>
        <v>#DIV/0!</v>
      </c>
      <c r="N124" s="51" t="e">
        <f>'Sheet 3. Total Amounts '!N124/'Formula Calculations (LOCKED)'!B124</f>
        <v>#DIV/0!</v>
      </c>
    </row>
    <row r="125" spans="1:14" x14ac:dyDescent="0.2">
      <c r="A125" s="7">
        <f>'Sheet 2. County Level Data'!A123</f>
        <v>0</v>
      </c>
      <c r="B125" s="29" t="e">
        <f>'Sheet 3. Total Amounts '!B125/'Formula Calculations (LOCKED)'!B125</f>
        <v>#DIV/0!</v>
      </c>
      <c r="C125" s="52" t="e">
        <f>'Sheet 3. Total Amounts '!C125/'Formula Calculations (LOCKED)'!$B125</f>
        <v>#DIV/0!</v>
      </c>
      <c r="D125" s="52" t="e">
        <f>'Sheet 3. Total Amounts '!D125/'Formula Calculations (LOCKED)'!$B125</f>
        <v>#DIV/0!</v>
      </c>
      <c r="E125" s="52" t="e">
        <f>'Sheet 3. Total Amounts '!E125/'Formula Calculations (LOCKED)'!$B125</f>
        <v>#DIV/0!</v>
      </c>
      <c r="F125" s="52" t="e">
        <f>'Sheet 3. Total Amounts '!F125/'Formula Calculations (LOCKED)'!$B125</f>
        <v>#DIV/0!</v>
      </c>
      <c r="G125" s="52" t="e">
        <f>'Sheet 3. Total Amounts '!G125/'Formula Calculations (LOCKED)'!$B125</f>
        <v>#DIV/0!</v>
      </c>
      <c r="H125" s="52" t="e">
        <f>'Sheet 3. Total Amounts '!H125/'Formula Calculations (LOCKED)'!$B125</f>
        <v>#DIV/0!</v>
      </c>
      <c r="I125" s="52" t="e">
        <f>'Sheet 3. Total Amounts '!I125/'Formula Calculations (LOCKED)'!$B125</f>
        <v>#DIV/0!</v>
      </c>
      <c r="J125" s="52" t="e">
        <f>'Sheet 3. Total Amounts '!J125/'Formula Calculations (LOCKED)'!$B125</f>
        <v>#DIV/0!</v>
      </c>
      <c r="K125" s="52" t="e">
        <f>'Sheet 3. Total Amounts '!K125/'Formula Calculations (LOCKED)'!$B125</f>
        <v>#DIV/0!</v>
      </c>
      <c r="L125" s="29" t="e">
        <f>'Sheet 3. Total Amounts '!L125/'Formula Calculations (LOCKED)'!B125</f>
        <v>#DIV/0!</v>
      </c>
      <c r="M125" s="29" t="e">
        <f>'Sheet 3. Total Amounts '!M125/'Formula Calculations (LOCKED)'!B125</f>
        <v>#DIV/0!</v>
      </c>
      <c r="N125" s="51" t="e">
        <f>'Sheet 3. Total Amounts '!N125/'Formula Calculations (LOCKED)'!B125</f>
        <v>#DIV/0!</v>
      </c>
    </row>
    <row r="126" spans="1:14" x14ac:dyDescent="0.2">
      <c r="A126" s="7">
        <f>'Sheet 2. County Level Data'!A124</f>
        <v>0</v>
      </c>
      <c r="B126" s="29" t="e">
        <f>'Sheet 3. Total Amounts '!B126/'Formula Calculations (LOCKED)'!B126</f>
        <v>#DIV/0!</v>
      </c>
      <c r="C126" s="52" t="e">
        <f>'Sheet 3. Total Amounts '!C126/'Formula Calculations (LOCKED)'!$B126</f>
        <v>#DIV/0!</v>
      </c>
      <c r="D126" s="52" t="e">
        <f>'Sheet 3. Total Amounts '!D126/'Formula Calculations (LOCKED)'!$B126</f>
        <v>#DIV/0!</v>
      </c>
      <c r="E126" s="52" t="e">
        <f>'Sheet 3. Total Amounts '!E126/'Formula Calculations (LOCKED)'!$B126</f>
        <v>#DIV/0!</v>
      </c>
      <c r="F126" s="52" t="e">
        <f>'Sheet 3. Total Amounts '!F126/'Formula Calculations (LOCKED)'!$B126</f>
        <v>#DIV/0!</v>
      </c>
      <c r="G126" s="52" t="e">
        <f>'Sheet 3. Total Amounts '!G126/'Formula Calculations (LOCKED)'!$B126</f>
        <v>#DIV/0!</v>
      </c>
      <c r="H126" s="52" t="e">
        <f>'Sheet 3. Total Amounts '!H126/'Formula Calculations (LOCKED)'!$B126</f>
        <v>#DIV/0!</v>
      </c>
      <c r="I126" s="52" t="e">
        <f>'Sheet 3. Total Amounts '!I126/'Formula Calculations (LOCKED)'!$B126</f>
        <v>#DIV/0!</v>
      </c>
      <c r="J126" s="52" t="e">
        <f>'Sheet 3. Total Amounts '!J126/'Formula Calculations (LOCKED)'!$B126</f>
        <v>#DIV/0!</v>
      </c>
      <c r="K126" s="52" t="e">
        <f>'Sheet 3. Total Amounts '!K126/'Formula Calculations (LOCKED)'!$B126</f>
        <v>#DIV/0!</v>
      </c>
      <c r="L126" s="29" t="e">
        <f>'Sheet 3. Total Amounts '!L126/'Formula Calculations (LOCKED)'!B126</f>
        <v>#DIV/0!</v>
      </c>
      <c r="M126" s="29" t="e">
        <f>'Sheet 3. Total Amounts '!M126/'Formula Calculations (LOCKED)'!B126</f>
        <v>#DIV/0!</v>
      </c>
      <c r="N126" s="51" t="e">
        <f>'Sheet 3. Total Amounts '!N126/'Formula Calculations (LOCKED)'!B126</f>
        <v>#DIV/0!</v>
      </c>
    </row>
    <row r="127" spans="1:14" x14ac:dyDescent="0.2">
      <c r="A127" s="7">
        <f>'Sheet 2. County Level Data'!A125</f>
        <v>0</v>
      </c>
      <c r="B127" s="29" t="e">
        <f>'Sheet 3. Total Amounts '!B127/'Formula Calculations (LOCKED)'!B127</f>
        <v>#DIV/0!</v>
      </c>
      <c r="C127" s="52" t="e">
        <f>'Sheet 3. Total Amounts '!C127/'Formula Calculations (LOCKED)'!$B127</f>
        <v>#DIV/0!</v>
      </c>
      <c r="D127" s="52" t="e">
        <f>'Sheet 3. Total Amounts '!D127/'Formula Calculations (LOCKED)'!$B127</f>
        <v>#DIV/0!</v>
      </c>
      <c r="E127" s="52" t="e">
        <f>'Sheet 3. Total Amounts '!E127/'Formula Calculations (LOCKED)'!$B127</f>
        <v>#DIV/0!</v>
      </c>
      <c r="F127" s="52" t="e">
        <f>'Sheet 3. Total Amounts '!F127/'Formula Calculations (LOCKED)'!$B127</f>
        <v>#DIV/0!</v>
      </c>
      <c r="G127" s="52" t="e">
        <f>'Sheet 3. Total Amounts '!G127/'Formula Calculations (LOCKED)'!$B127</f>
        <v>#DIV/0!</v>
      </c>
      <c r="H127" s="52" t="e">
        <f>'Sheet 3. Total Amounts '!H127/'Formula Calculations (LOCKED)'!$B127</f>
        <v>#DIV/0!</v>
      </c>
      <c r="I127" s="52" t="e">
        <f>'Sheet 3. Total Amounts '!I127/'Formula Calculations (LOCKED)'!$B127</f>
        <v>#DIV/0!</v>
      </c>
      <c r="J127" s="52" t="e">
        <f>'Sheet 3. Total Amounts '!J127/'Formula Calculations (LOCKED)'!$B127</f>
        <v>#DIV/0!</v>
      </c>
      <c r="K127" s="52" t="e">
        <f>'Sheet 3. Total Amounts '!K127/'Formula Calculations (LOCKED)'!$B127</f>
        <v>#DIV/0!</v>
      </c>
      <c r="L127" s="29" t="e">
        <f>'Sheet 3. Total Amounts '!L127/'Formula Calculations (LOCKED)'!B127</f>
        <v>#DIV/0!</v>
      </c>
      <c r="M127" s="29" t="e">
        <f>'Sheet 3. Total Amounts '!M127/'Formula Calculations (LOCKED)'!B127</f>
        <v>#DIV/0!</v>
      </c>
      <c r="N127" s="51" t="e">
        <f>'Sheet 3. Total Amounts '!N127/'Formula Calculations (LOCKED)'!B127</f>
        <v>#DIV/0!</v>
      </c>
    </row>
    <row r="128" spans="1:14" x14ac:dyDescent="0.2">
      <c r="A128" s="7">
        <f>'Sheet 2. County Level Data'!A126</f>
        <v>0</v>
      </c>
      <c r="B128" s="29" t="e">
        <f>'Sheet 3. Total Amounts '!B128/'Formula Calculations (LOCKED)'!B128</f>
        <v>#DIV/0!</v>
      </c>
      <c r="C128" s="52" t="e">
        <f>'Sheet 3. Total Amounts '!C128/'Formula Calculations (LOCKED)'!$B128</f>
        <v>#DIV/0!</v>
      </c>
      <c r="D128" s="52" t="e">
        <f>'Sheet 3. Total Amounts '!D128/'Formula Calculations (LOCKED)'!$B128</f>
        <v>#DIV/0!</v>
      </c>
      <c r="E128" s="52" t="e">
        <f>'Sheet 3. Total Amounts '!E128/'Formula Calculations (LOCKED)'!$B128</f>
        <v>#DIV/0!</v>
      </c>
      <c r="F128" s="52" t="e">
        <f>'Sheet 3. Total Amounts '!F128/'Formula Calculations (LOCKED)'!$B128</f>
        <v>#DIV/0!</v>
      </c>
      <c r="G128" s="52" t="e">
        <f>'Sheet 3. Total Amounts '!G128/'Formula Calculations (LOCKED)'!$B128</f>
        <v>#DIV/0!</v>
      </c>
      <c r="H128" s="52" t="e">
        <f>'Sheet 3. Total Amounts '!H128/'Formula Calculations (LOCKED)'!$B128</f>
        <v>#DIV/0!</v>
      </c>
      <c r="I128" s="52" t="e">
        <f>'Sheet 3. Total Amounts '!I128/'Formula Calculations (LOCKED)'!$B128</f>
        <v>#DIV/0!</v>
      </c>
      <c r="J128" s="52" t="e">
        <f>'Sheet 3. Total Amounts '!J128/'Formula Calculations (LOCKED)'!$B128</f>
        <v>#DIV/0!</v>
      </c>
      <c r="K128" s="52" t="e">
        <f>'Sheet 3. Total Amounts '!K128/'Formula Calculations (LOCKED)'!$B128</f>
        <v>#DIV/0!</v>
      </c>
      <c r="L128" s="29" t="e">
        <f>'Sheet 3. Total Amounts '!L128/'Formula Calculations (LOCKED)'!B128</f>
        <v>#DIV/0!</v>
      </c>
      <c r="M128" s="29" t="e">
        <f>'Sheet 3. Total Amounts '!M128/'Formula Calculations (LOCKED)'!B128</f>
        <v>#DIV/0!</v>
      </c>
      <c r="N128" s="51" t="e">
        <f>'Sheet 3. Total Amounts '!N128/'Formula Calculations (LOCKED)'!B128</f>
        <v>#DIV/0!</v>
      </c>
    </row>
    <row r="129" spans="1:14" x14ac:dyDescent="0.2">
      <c r="A129" s="7">
        <f>'Sheet 2. County Level Data'!A127</f>
        <v>0</v>
      </c>
      <c r="B129" s="29" t="e">
        <f>'Sheet 3. Total Amounts '!B129/'Formula Calculations (LOCKED)'!B129</f>
        <v>#DIV/0!</v>
      </c>
      <c r="C129" s="52" t="e">
        <f>'Sheet 3. Total Amounts '!C129/'Formula Calculations (LOCKED)'!$B129</f>
        <v>#DIV/0!</v>
      </c>
      <c r="D129" s="52" t="e">
        <f>'Sheet 3. Total Amounts '!D129/'Formula Calculations (LOCKED)'!$B129</f>
        <v>#DIV/0!</v>
      </c>
      <c r="E129" s="52" t="e">
        <f>'Sheet 3. Total Amounts '!E129/'Formula Calculations (LOCKED)'!$B129</f>
        <v>#DIV/0!</v>
      </c>
      <c r="F129" s="52" t="e">
        <f>'Sheet 3. Total Amounts '!F129/'Formula Calculations (LOCKED)'!$B129</f>
        <v>#DIV/0!</v>
      </c>
      <c r="G129" s="52" t="e">
        <f>'Sheet 3. Total Amounts '!G129/'Formula Calculations (LOCKED)'!$B129</f>
        <v>#DIV/0!</v>
      </c>
      <c r="H129" s="52" t="e">
        <f>'Sheet 3. Total Amounts '!H129/'Formula Calculations (LOCKED)'!$B129</f>
        <v>#DIV/0!</v>
      </c>
      <c r="I129" s="52" t="e">
        <f>'Sheet 3. Total Amounts '!I129/'Formula Calculations (LOCKED)'!$B129</f>
        <v>#DIV/0!</v>
      </c>
      <c r="J129" s="52" t="e">
        <f>'Sheet 3. Total Amounts '!J129/'Formula Calculations (LOCKED)'!$B129</f>
        <v>#DIV/0!</v>
      </c>
      <c r="K129" s="52" t="e">
        <f>'Sheet 3. Total Amounts '!K129/'Formula Calculations (LOCKED)'!$B129</f>
        <v>#DIV/0!</v>
      </c>
      <c r="L129" s="29" t="e">
        <f>'Sheet 3. Total Amounts '!L129/'Formula Calculations (LOCKED)'!B129</f>
        <v>#DIV/0!</v>
      </c>
      <c r="M129" s="29" t="e">
        <f>'Sheet 3. Total Amounts '!M129/'Formula Calculations (LOCKED)'!B129</f>
        <v>#DIV/0!</v>
      </c>
      <c r="N129" s="51" t="e">
        <f>'Sheet 3. Total Amounts '!N129/'Formula Calculations (LOCKED)'!B129</f>
        <v>#DIV/0!</v>
      </c>
    </row>
    <row r="130" spans="1:14" x14ac:dyDescent="0.2">
      <c r="A130" s="7">
        <f>'Sheet 2. County Level Data'!A128</f>
        <v>0</v>
      </c>
      <c r="B130" s="29" t="e">
        <f>'Sheet 3. Total Amounts '!B130/'Formula Calculations (LOCKED)'!B130</f>
        <v>#DIV/0!</v>
      </c>
      <c r="C130" s="52" t="e">
        <f>'Sheet 3. Total Amounts '!C130/'Formula Calculations (LOCKED)'!$B130</f>
        <v>#DIV/0!</v>
      </c>
      <c r="D130" s="52" t="e">
        <f>'Sheet 3. Total Amounts '!D130/'Formula Calculations (LOCKED)'!$B130</f>
        <v>#DIV/0!</v>
      </c>
      <c r="E130" s="52" t="e">
        <f>'Sheet 3. Total Amounts '!E130/'Formula Calculations (LOCKED)'!$B130</f>
        <v>#DIV/0!</v>
      </c>
      <c r="F130" s="52" t="e">
        <f>'Sheet 3. Total Amounts '!F130/'Formula Calculations (LOCKED)'!$B130</f>
        <v>#DIV/0!</v>
      </c>
      <c r="G130" s="52" t="e">
        <f>'Sheet 3. Total Amounts '!G130/'Formula Calculations (LOCKED)'!$B130</f>
        <v>#DIV/0!</v>
      </c>
      <c r="H130" s="52" t="e">
        <f>'Sheet 3. Total Amounts '!H130/'Formula Calculations (LOCKED)'!$B130</f>
        <v>#DIV/0!</v>
      </c>
      <c r="I130" s="52" t="e">
        <f>'Sheet 3. Total Amounts '!I130/'Formula Calculations (LOCKED)'!$B130</f>
        <v>#DIV/0!</v>
      </c>
      <c r="J130" s="52" t="e">
        <f>'Sheet 3. Total Amounts '!J130/'Formula Calculations (LOCKED)'!$B130</f>
        <v>#DIV/0!</v>
      </c>
      <c r="K130" s="52" t="e">
        <f>'Sheet 3. Total Amounts '!K130/'Formula Calculations (LOCKED)'!$B130</f>
        <v>#DIV/0!</v>
      </c>
      <c r="L130" s="29" t="e">
        <f>'Sheet 3. Total Amounts '!L130/'Formula Calculations (LOCKED)'!B130</f>
        <v>#DIV/0!</v>
      </c>
      <c r="M130" s="29" t="e">
        <f>'Sheet 3. Total Amounts '!M130/'Formula Calculations (LOCKED)'!B130</f>
        <v>#DIV/0!</v>
      </c>
      <c r="N130" s="51" t="e">
        <f>'Sheet 3. Total Amounts '!N130/'Formula Calculations (LOCKED)'!B130</f>
        <v>#DIV/0!</v>
      </c>
    </row>
    <row r="131" spans="1:14" x14ac:dyDescent="0.2">
      <c r="A131" s="7">
        <f>'Sheet 2. County Level Data'!A129</f>
        <v>0</v>
      </c>
      <c r="B131" s="29" t="e">
        <f>'Sheet 3. Total Amounts '!B131/'Formula Calculations (LOCKED)'!B131</f>
        <v>#DIV/0!</v>
      </c>
      <c r="C131" s="52" t="e">
        <f>'Sheet 3. Total Amounts '!C131/'Formula Calculations (LOCKED)'!$B131</f>
        <v>#DIV/0!</v>
      </c>
      <c r="D131" s="52" t="e">
        <f>'Sheet 3. Total Amounts '!D131/'Formula Calculations (LOCKED)'!$B131</f>
        <v>#DIV/0!</v>
      </c>
      <c r="E131" s="52" t="e">
        <f>'Sheet 3. Total Amounts '!E131/'Formula Calculations (LOCKED)'!$B131</f>
        <v>#DIV/0!</v>
      </c>
      <c r="F131" s="52" t="e">
        <f>'Sheet 3. Total Amounts '!F131/'Formula Calculations (LOCKED)'!$B131</f>
        <v>#DIV/0!</v>
      </c>
      <c r="G131" s="52" t="e">
        <f>'Sheet 3. Total Amounts '!G131/'Formula Calculations (LOCKED)'!$B131</f>
        <v>#DIV/0!</v>
      </c>
      <c r="H131" s="52" t="e">
        <f>'Sheet 3. Total Amounts '!H131/'Formula Calculations (LOCKED)'!$B131</f>
        <v>#DIV/0!</v>
      </c>
      <c r="I131" s="52" t="e">
        <f>'Sheet 3. Total Amounts '!I131/'Formula Calculations (LOCKED)'!$B131</f>
        <v>#DIV/0!</v>
      </c>
      <c r="J131" s="52" t="e">
        <f>'Sheet 3. Total Amounts '!J131/'Formula Calculations (LOCKED)'!$B131</f>
        <v>#DIV/0!</v>
      </c>
      <c r="K131" s="52" t="e">
        <f>'Sheet 3. Total Amounts '!K131/'Formula Calculations (LOCKED)'!$B131</f>
        <v>#DIV/0!</v>
      </c>
      <c r="L131" s="29" t="e">
        <f>'Sheet 3. Total Amounts '!L131/'Formula Calculations (LOCKED)'!B131</f>
        <v>#DIV/0!</v>
      </c>
      <c r="M131" s="29" t="e">
        <f>'Sheet 3. Total Amounts '!M131/'Formula Calculations (LOCKED)'!B131</f>
        <v>#DIV/0!</v>
      </c>
      <c r="N131" s="51" t="e">
        <f>'Sheet 3. Total Amounts '!N131/'Formula Calculations (LOCKED)'!B131</f>
        <v>#DIV/0!</v>
      </c>
    </row>
    <row r="132" spans="1:14" x14ac:dyDescent="0.2">
      <c r="A132" s="7">
        <f>'Sheet 2. County Level Data'!A130</f>
        <v>0</v>
      </c>
      <c r="B132" s="29" t="e">
        <f>'Sheet 3. Total Amounts '!B132/'Formula Calculations (LOCKED)'!B132</f>
        <v>#DIV/0!</v>
      </c>
      <c r="C132" s="52" t="e">
        <f>'Sheet 3. Total Amounts '!C132/'Formula Calculations (LOCKED)'!$B132</f>
        <v>#DIV/0!</v>
      </c>
      <c r="D132" s="52" t="e">
        <f>'Sheet 3. Total Amounts '!D132/'Formula Calculations (LOCKED)'!$B132</f>
        <v>#DIV/0!</v>
      </c>
      <c r="E132" s="52" t="e">
        <f>'Sheet 3. Total Amounts '!E132/'Formula Calculations (LOCKED)'!$B132</f>
        <v>#DIV/0!</v>
      </c>
      <c r="F132" s="52" t="e">
        <f>'Sheet 3. Total Amounts '!F132/'Formula Calculations (LOCKED)'!$B132</f>
        <v>#DIV/0!</v>
      </c>
      <c r="G132" s="52" t="e">
        <f>'Sheet 3. Total Amounts '!G132/'Formula Calculations (LOCKED)'!$B132</f>
        <v>#DIV/0!</v>
      </c>
      <c r="H132" s="52" t="e">
        <f>'Sheet 3. Total Amounts '!H132/'Formula Calculations (LOCKED)'!$B132</f>
        <v>#DIV/0!</v>
      </c>
      <c r="I132" s="52" t="e">
        <f>'Sheet 3. Total Amounts '!I132/'Formula Calculations (LOCKED)'!$B132</f>
        <v>#DIV/0!</v>
      </c>
      <c r="J132" s="52" t="e">
        <f>'Sheet 3. Total Amounts '!J132/'Formula Calculations (LOCKED)'!$B132</f>
        <v>#DIV/0!</v>
      </c>
      <c r="K132" s="52" t="e">
        <f>'Sheet 3. Total Amounts '!K132/'Formula Calculations (LOCKED)'!$B132</f>
        <v>#DIV/0!</v>
      </c>
      <c r="L132" s="29" t="e">
        <f>'Sheet 3. Total Amounts '!L132/'Formula Calculations (LOCKED)'!B132</f>
        <v>#DIV/0!</v>
      </c>
      <c r="M132" s="29" t="e">
        <f>'Sheet 3. Total Amounts '!M132/'Formula Calculations (LOCKED)'!B132</f>
        <v>#DIV/0!</v>
      </c>
      <c r="N132" s="51" t="e">
        <f>'Sheet 3. Total Amounts '!N132/'Formula Calculations (LOCKED)'!B132</f>
        <v>#DIV/0!</v>
      </c>
    </row>
    <row r="133" spans="1:14" x14ac:dyDescent="0.2">
      <c r="A133" s="7">
        <f>'Sheet 2. County Level Data'!A131</f>
        <v>0</v>
      </c>
      <c r="B133" s="29" t="e">
        <f>'Sheet 3. Total Amounts '!B133/'Formula Calculations (LOCKED)'!B133</f>
        <v>#DIV/0!</v>
      </c>
      <c r="C133" s="52" t="e">
        <f>'Sheet 3. Total Amounts '!C133/'Formula Calculations (LOCKED)'!$B133</f>
        <v>#DIV/0!</v>
      </c>
      <c r="D133" s="52" t="e">
        <f>'Sheet 3. Total Amounts '!D133/'Formula Calculations (LOCKED)'!$B133</f>
        <v>#DIV/0!</v>
      </c>
      <c r="E133" s="52" t="e">
        <f>'Sheet 3. Total Amounts '!E133/'Formula Calculations (LOCKED)'!$B133</f>
        <v>#DIV/0!</v>
      </c>
      <c r="F133" s="52" t="e">
        <f>'Sheet 3. Total Amounts '!F133/'Formula Calculations (LOCKED)'!$B133</f>
        <v>#DIV/0!</v>
      </c>
      <c r="G133" s="52" t="e">
        <f>'Sheet 3. Total Amounts '!G133/'Formula Calculations (LOCKED)'!$B133</f>
        <v>#DIV/0!</v>
      </c>
      <c r="H133" s="52" t="e">
        <f>'Sheet 3. Total Amounts '!H133/'Formula Calculations (LOCKED)'!$B133</f>
        <v>#DIV/0!</v>
      </c>
      <c r="I133" s="52" t="e">
        <f>'Sheet 3. Total Amounts '!I133/'Formula Calculations (LOCKED)'!$B133</f>
        <v>#DIV/0!</v>
      </c>
      <c r="J133" s="52" t="e">
        <f>'Sheet 3. Total Amounts '!J133/'Formula Calculations (LOCKED)'!$B133</f>
        <v>#DIV/0!</v>
      </c>
      <c r="K133" s="52" t="e">
        <f>'Sheet 3. Total Amounts '!K133/'Formula Calculations (LOCKED)'!$B133</f>
        <v>#DIV/0!</v>
      </c>
      <c r="L133" s="29" t="e">
        <f>'Sheet 3. Total Amounts '!L133/'Formula Calculations (LOCKED)'!B133</f>
        <v>#DIV/0!</v>
      </c>
      <c r="M133" s="29" t="e">
        <f>'Sheet 3. Total Amounts '!M133/'Formula Calculations (LOCKED)'!B133</f>
        <v>#DIV/0!</v>
      </c>
      <c r="N133" s="51" t="e">
        <f>'Sheet 3. Total Amounts '!N133/'Formula Calculations (LOCKED)'!B133</f>
        <v>#DIV/0!</v>
      </c>
    </row>
    <row r="134" spans="1:14" x14ac:dyDescent="0.2">
      <c r="A134" s="7">
        <f>'Sheet 2. County Level Data'!A132</f>
        <v>0</v>
      </c>
      <c r="B134" s="29" t="e">
        <f>'Sheet 3. Total Amounts '!B134/'Formula Calculations (LOCKED)'!B134</f>
        <v>#DIV/0!</v>
      </c>
      <c r="C134" s="52" t="e">
        <f>'Sheet 3. Total Amounts '!C134/'Formula Calculations (LOCKED)'!$B134</f>
        <v>#DIV/0!</v>
      </c>
      <c r="D134" s="52" t="e">
        <f>'Sheet 3. Total Amounts '!D134/'Formula Calculations (LOCKED)'!$B134</f>
        <v>#DIV/0!</v>
      </c>
      <c r="E134" s="52" t="e">
        <f>'Sheet 3. Total Amounts '!E134/'Formula Calculations (LOCKED)'!$B134</f>
        <v>#DIV/0!</v>
      </c>
      <c r="F134" s="52" t="e">
        <f>'Sheet 3. Total Amounts '!F134/'Formula Calculations (LOCKED)'!$B134</f>
        <v>#DIV/0!</v>
      </c>
      <c r="G134" s="52" t="e">
        <f>'Sheet 3. Total Amounts '!G134/'Formula Calculations (LOCKED)'!$B134</f>
        <v>#DIV/0!</v>
      </c>
      <c r="H134" s="52" t="e">
        <f>'Sheet 3. Total Amounts '!H134/'Formula Calculations (LOCKED)'!$B134</f>
        <v>#DIV/0!</v>
      </c>
      <c r="I134" s="52" t="e">
        <f>'Sheet 3. Total Amounts '!I134/'Formula Calculations (LOCKED)'!$B134</f>
        <v>#DIV/0!</v>
      </c>
      <c r="J134" s="52" t="e">
        <f>'Sheet 3. Total Amounts '!J134/'Formula Calculations (LOCKED)'!$B134</f>
        <v>#DIV/0!</v>
      </c>
      <c r="K134" s="52" t="e">
        <f>'Sheet 3. Total Amounts '!K134/'Formula Calculations (LOCKED)'!$B134</f>
        <v>#DIV/0!</v>
      </c>
      <c r="L134" s="29" t="e">
        <f>'Sheet 3. Total Amounts '!L134/'Formula Calculations (LOCKED)'!B134</f>
        <v>#DIV/0!</v>
      </c>
      <c r="M134" s="29" t="e">
        <f>'Sheet 3. Total Amounts '!M134/'Formula Calculations (LOCKED)'!B134</f>
        <v>#DIV/0!</v>
      </c>
      <c r="N134" s="51" t="e">
        <f>'Sheet 3. Total Amounts '!N134/'Formula Calculations (LOCKED)'!B134</f>
        <v>#DIV/0!</v>
      </c>
    </row>
    <row r="135" spans="1:14" x14ac:dyDescent="0.2">
      <c r="A135" s="7">
        <f>'Sheet 2. County Level Data'!A133</f>
        <v>0</v>
      </c>
      <c r="B135" s="29" t="e">
        <f>'Sheet 3. Total Amounts '!B135/'Formula Calculations (LOCKED)'!B135</f>
        <v>#DIV/0!</v>
      </c>
      <c r="C135" s="52" t="e">
        <f>'Sheet 3. Total Amounts '!C135/'Formula Calculations (LOCKED)'!$B135</f>
        <v>#DIV/0!</v>
      </c>
      <c r="D135" s="52" t="e">
        <f>'Sheet 3. Total Amounts '!D135/'Formula Calculations (LOCKED)'!$B135</f>
        <v>#DIV/0!</v>
      </c>
      <c r="E135" s="52" t="e">
        <f>'Sheet 3. Total Amounts '!E135/'Formula Calculations (LOCKED)'!$B135</f>
        <v>#DIV/0!</v>
      </c>
      <c r="F135" s="52" t="e">
        <f>'Sheet 3. Total Amounts '!F135/'Formula Calculations (LOCKED)'!$B135</f>
        <v>#DIV/0!</v>
      </c>
      <c r="G135" s="52" t="e">
        <f>'Sheet 3. Total Amounts '!G135/'Formula Calculations (LOCKED)'!$B135</f>
        <v>#DIV/0!</v>
      </c>
      <c r="H135" s="52" t="e">
        <f>'Sheet 3. Total Amounts '!H135/'Formula Calculations (LOCKED)'!$B135</f>
        <v>#DIV/0!</v>
      </c>
      <c r="I135" s="52" t="e">
        <f>'Sheet 3. Total Amounts '!I135/'Formula Calculations (LOCKED)'!$B135</f>
        <v>#DIV/0!</v>
      </c>
      <c r="J135" s="52" t="e">
        <f>'Sheet 3. Total Amounts '!J135/'Formula Calculations (LOCKED)'!$B135</f>
        <v>#DIV/0!</v>
      </c>
      <c r="K135" s="52" t="e">
        <f>'Sheet 3. Total Amounts '!K135/'Formula Calculations (LOCKED)'!$B135</f>
        <v>#DIV/0!</v>
      </c>
      <c r="L135" s="29" t="e">
        <f>'Sheet 3. Total Amounts '!L135/'Formula Calculations (LOCKED)'!B135</f>
        <v>#DIV/0!</v>
      </c>
      <c r="M135" s="29" t="e">
        <f>'Sheet 3. Total Amounts '!M135/'Formula Calculations (LOCKED)'!B135</f>
        <v>#DIV/0!</v>
      </c>
      <c r="N135" s="51" t="e">
        <f>'Sheet 3. Total Amounts '!N135/'Formula Calculations (LOCKED)'!B135</f>
        <v>#DIV/0!</v>
      </c>
    </row>
    <row r="136" spans="1:14" x14ac:dyDescent="0.2">
      <c r="A136" s="7">
        <f>'Sheet 2. County Level Data'!A134</f>
        <v>0</v>
      </c>
      <c r="B136" s="29" t="e">
        <f>'Sheet 3. Total Amounts '!B136/'Formula Calculations (LOCKED)'!B136</f>
        <v>#DIV/0!</v>
      </c>
      <c r="C136" s="52" t="e">
        <f>'Sheet 3. Total Amounts '!C136/'Formula Calculations (LOCKED)'!$B136</f>
        <v>#DIV/0!</v>
      </c>
      <c r="D136" s="52" t="e">
        <f>'Sheet 3. Total Amounts '!D136/'Formula Calculations (LOCKED)'!$B136</f>
        <v>#DIV/0!</v>
      </c>
      <c r="E136" s="52" t="e">
        <f>'Sheet 3. Total Amounts '!E136/'Formula Calculations (LOCKED)'!$B136</f>
        <v>#DIV/0!</v>
      </c>
      <c r="F136" s="52" t="e">
        <f>'Sheet 3. Total Amounts '!F136/'Formula Calculations (LOCKED)'!$B136</f>
        <v>#DIV/0!</v>
      </c>
      <c r="G136" s="52" t="e">
        <f>'Sheet 3. Total Amounts '!G136/'Formula Calculations (LOCKED)'!$B136</f>
        <v>#DIV/0!</v>
      </c>
      <c r="H136" s="52" t="e">
        <f>'Sheet 3. Total Amounts '!H136/'Formula Calculations (LOCKED)'!$B136</f>
        <v>#DIV/0!</v>
      </c>
      <c r="I136" s="52" t="e">
        <f>'Sheet 3. Total Amounts '!I136/'Formula Calculations (LOCKED)'!$B136</f>
        <v>#DIV/0!</v>
      </c>
      <c r="J136" s="52" t="e">
        <f>'Sheet 3. Total Amounts '!J136/'Formula Calculations (LOCKED)'!$B136</f>
        <v>#DIV/0!</v>
      </c>
      <c r="K136" s="52" t="e">
        <f>'Sheet 3. Total Amounts '!K136/'Formula Calculations (LOCKED)'!$B136</f>
        <v>#DIV/0!</v>
      </c>
      <c r="L136" s="29" t="e">
        <f>'Sheet 3. Total Amounts '!L136/'Formula Calculations (LOCKED)'!B136</f>
        <v>#DIV/0!</v>
      </c>
      <c r="M136" s="29" t="e">
        <f>'Sheet 3. Total Amounts '!M136/'Formula Calculations (LOCKED)'!B136</f>
        <v>#DIV/0!</v>
      </c>
      <c r="N136" s="51" t="e">
        <f>'Sheet 3. Total Amounts '!N136/'Formula Calculations (LOCKED)'!B136</f>
        <v>#DIV/0!</v>
      </c>
    </row>
    <row r="137" spans="1:14" x14ac:dyDescent="0.2">
      <c r="A137" s="7">
        <f>'Sheet 2. County Level Data'!A135</f>
        <v>0</v>
      </c>
      <c r="B137" s="29" t="e">
        <f>'Sheet 3. Total Amounts '!B137/'Formula Calculations (LOCKED)'!B137</f>
        <v>#DIV/0!</v>
      </c>
      <c r="C137" s="52" t="e">
        <f>'Sheet 3. Total Amounts '!C137/'Formula Calculations (LOCKED)'!$B137</f>
        <v>#DIV/0!</v>
      </c>
      <c r="D137" s="52" t="e">
        <f>'Sheet 3. Total Amounts '!D137/'Formula Calculations (LOCKED)'!$B137</f>
        <v>#DIV/0!</v>
      </c>
      <c r="E137" s="52" t="e">
        <f>'Sheet 3. Total Amounts '!E137/'Formula Calculations (LOCKED)'!$B137</f>
        <v>#DIV/0!</v>
      </c>
      <c r="F137" s="52" t="e">
        <f>'Sheet 3. Total Amounts '!F137/'Formula Calculations (LOCKED)'!$B137</f>
        <v>#DIV/0!</v>
      </c>
      <c r="G137" s="52" t="e">
        <f>'Sheet 3. Total Amounts '!G137/'Formula Calculations (LOCKED)'!$B137</f>
        <v>#DIV/0!</v>
      </c>
      <c r="H137" s="52" t="e">
        <f>'Sheet 3. Total Amounts '!H137/'Formula Calculations (LOCKED)'!$B137</f>
        <v>#DIV/0!</v>
      </c>
      <c r="I137" s="52" t="e">
        <f>'Sheet 3. Total Amounts '!I137/'Formula Calculations (LOCKED)'!$B137</f>
        <v>#DIV/0!</v>
      </c>
      <c r="J137" s="52" t="e">
        <f>'Sheet 3. Total Amounts '!J137/'Formula Calculations (LOCKED)'!$B137</f>
        <v>#DIV/0!</v>
      </c>
      <c r="K137" s="52" t="e">
        <f>'Sheet 3. Total Amounts '!K137/'Formula Calculations (LOCKED)'!$B137</f>
        <v>#DIV/0!</v>
      </c>
      <c r="L137" s="29" t="e">
        <f>'Sheet 3. Total Amounts '!L137/'Formula Calculations (LOCKED)'!B137</f>
        <v>#DIV/0!</v>
      </c>
      <c r="M137" s="29" t="e">
        <f>'Sheet 3. Total Amounts '!M137/'Formula Calculations (LOCKED)'!B137</f>
        <v>#DIV/0!</v>
      </c>
      <c r="N137" s="51" t="e">
        <f>'Sheet 3. Total Amounts '!N137/'Formula Calculations (LOCKED)'!B137</f>
        <v>#DIV/0!</v>
      </c>
    </row>
    <row r="138" spans="1:14" x14ac:dyDescent="0.2">
      <c r="A138" s="7">
        <f>'Sheet 2. County Level Data'!A136</f>
        <v>0</v>
      </c>
      <c r="B138" s="29" t="e">
        <f>'Sheet 3. Total Amounts '!B138/'Formula Calculations (LOCKED)'!B138</f>
        <v>#DIV/0!</v>
      </c>
      <c r="C138" s="52" t="e">
        <f>'Sheet 3. Total Amounts '!C138/'Formula Calculations (LOCKED)'!$B138</f>
        <v>#DIV/0!</v>
      </c>
      <c r="D138" s="52" t="e">
        <f>'Sheet 3. Total Amounts '!D138/'Formula Calculations (LOCKED)'!$B138</f>
        <v>#DIV/0!</v>
      </c>
      <c r="E138" s="52" t="e">
        <f>'Sheet 3. Total Amounts '!E138/'Formula Calculations (LOCKED)'!$B138</f>
        <v>#DIV/0!</v>
      </c>
      <c r="F138" s="52" t="e">
        <f>'Sheet 3. Total Amounts '!F138/'Formula Calculations (LOCKED)'!$B138</f>
        <v>#DIV/0!</v>
      </c>
      <c r="G138" s="52" t="e">
        <f>'Sheet 3. Total Amounts '!G138/'Formula Calculations (LOCKED)'!$B138</f>
        <v>#DIV/0!</v>
      </c>
      <c r="H138" s="52" t="e">
        <f>'Sheet 3. Total Amounts '!H138/'Formula Calculations (LOCKED)'!$B138</f>
        <v>#DIV/0!</v>
      </c>
      <c r="I138" s="52" t="e">
        <f>'Sheet 3. Total Amounts '!I138/'Formula Calculations (LOCKED)'!$B138</f>
        <v>#DIV/0!</v>
      </c>
      <c r="J138" s="52" t="e">
        <f>'Sheet 3. Total Amounts '!J138/'Formula Calculations (LOCKED)'!$B138</f>
        <v>#DIV/0!</v>
      </c>
      <c r="K138" s="52" t="e">
        <f>'Sheet 3. Total Amounts '!K138/'Formula Calculations (LOCKED)'!$B138</f>
        <v>#DIV/0!</v>
      </c>
      <c r="L138" s="29" t="e">
        <f>'Sheet 3. Total Amounts '!L138/'Formula Calculations (LOCKED)'!B138</f>
        <v>#DIV/0!</v>
      </c>
      <c r="M138" s="29" t="e">
        <f>'Sheet 3. Total Amounts '!M138/'Formula Calculations (LOCKED)'!B138</f>
        <v>#DIV/0!</v>
      </c>
      <c r="N138" s="51" t="e">
        <f>'Sheet 3. Total Amounts '!N138/'Formula Calculations (LOCKED)'!B138</f>
        <v>#DIV/0!</v>
      </c>
    </row>
    <row r="139" spans="1:14" x14ac:dyDescent="0.2">
      <c r="A139" s="7">
        <f>'Sheet 2. County Level Data'!A137</f>
        <v>0</v>
      </c>
      <c r="B139" s="29" t="e">
        <f>'Sheet 3. Total Amounts '!B139/'Formula Calculations (LOCKED)'!B139</f>
        <v>#DIV/0!</v>
      </c>
      <c r="C139" s="52" t="e">
        <f>'Sheet 3. Total Amounts '!C139/'Formula Calculations (LOCKED)'!$B139</f>
        <v>#DIV/0!</v>
      </c>
      <c r="D139" s="52" t="e">
        <f>'Sheet 3. Total Amounts '!D139/'Formula Calculations (LOCKED)'!$B139</f>
        <v>#DIV/0!</v>
      </c>
      <c r="E139" s="52" t="e">
        <f>'Sheet 3. Total Amounts '!E139/'Formula Calculations (LOCKED)'!$B139</f>
        <v>#DIV/0!</v>
      </c>
      <c r="F139" s="52" t="e">
        <f>'Sheet 3. Total Amounts '!F139/'Formula Calculations (LOCKED)'!$B139</f>
        <v>#DIV/0!</v>
      </c>
      <c r="G139" s="52" t="e">
        <f>'Sheet 3. Total Amounts '!G139/'Formula Calculations (LOCKED)'!$B139</f>
        <v>#DIV/0!</v>
      </c>
      <c r="H139" s="52" t="e">
        <f>'Sheet 3. Total Amounts '!H139/'Formula Calculations (LOCKED)'!$B139</f>
        <v>#DIV/0!</v>
      </c>
      <c r="I139" s="52" t="e">
        <f>'Sheet 3. Total Amounts '!I139/'Formula Calculations (LOCKED)'!$B139</f>
        <v>#DIV/0!</v>
      </c>
      <c r="J139" s="52" t="e">
        <f>'Sheet 3. Total Amounts '!J139/'Formula Calculations (LOCKED)'!$B139</f>
        <v>#DIV/0!</v>
      </c>
      <c r="K139" s="52" t="e">
        <f>'Sheet 3. Total Amounts '!K139/'Formula Calculations (LOCKED)'!$B139</f>
        <v>#DIV/0!</v>
      </c>
      <c r="L139" s="29" t="e">
        <f>'Sheet 3. Total Amounts '!L139/'Formula Calculations (LOCKED)'!B139</f>
        <v>#DIV/0!</v>
      </c>
      <c r="M139" s="29" t="e">
        <f>'Sheet 3. Total Amounts '!M139/'Formula Calculations (LOCKED)'!B139</f>
        <v>#DIV/0!</v>
      </c>
      <c r="N139" s="51" t="e">
        <f>'Sheet 3. Total Amounts '!N139/'Formula Calculations (LOCKED)'!B139</f>
        <v>#DIV/0!</v>
      </c>
    </row>
    <row r="140" spans="1:14" x14ac:dyDescent="0.2">
      <c r="A140" s="7">
        <f>'Sheet 2. County Level Data'!A138</f>
        <v>0</v>
      </c>
      <c r="B140" s="29" t="e">
        <f>'Sheet 3. Total Amounts '!B140/'Formula Calculations (LOCKED)'!B140</f>
        <v>#DIV/0!</v>
      </c>
      <c r="C140" s="52" t="e">
        <f>'Sheet 3. Total Amounts '!C140/'Formula Calculations (LOCKED)'!$B140</f>
        <v>#DIV/0!</v>
      </c>
      <c r="D140" s="52" t="e">
        <f>'Sheet 3. Total Amounts '!D140/'Formula Calculations (LOCKED)'!$B140</f>
        <v>#DIV/0!</v>
      </c>
      <c r="E140" s="52" t="e">
        <f>'Sheet 3. Total Amounts '!E140/'Formula Calculations (LOCKED)'!$B140</f>
        <v>#DIV/0!</v>
      </c>
      <c r="F140" s="52" t="e">
        <f>'Sheet 3. Total Amounts '!F140/'Formula Calculations (LOCKED)'!$B140</f>
        <v>#DIV/0!</v>
      </c>
      <c r="G140" s="52" t="e">
        <f>'Sheet 3. Total Amounts '!G140/'Formula Calculations (LOCKED)'!$B140</f>
        <v>#DIV/0!</v>
      </c>
      <c r="H140" s="52" t="e">
        <f>'Sheet 3. Total Amounts '!H140/'Formula Calculations (LOCKED)'!$B140</f>
        <v>#DIV/0!</v>
      </c>
      <c r="I140" s="52" t="e">
        <f>'Sheet 3. Total Amounts '!I140/'Formula Calculations (LOCKED)'!$B140</f>
        <v>#DIV/0!</v>
      </c>
      <c r="J140" s="52" t="e">
        <f>'Sheet 3. Total Amounts '!J140/'Formula Calculations (LOCKED)'!$B140</f>
        <v>#DIV/0!</v>
      </c>
      <c r="K140" s="52" t="e">
        <f>'Sheet 3. Total Amounts '!K140/'Formula Calculations (LOCKED)'!$B140</f>
        <v>#DIV/0!</v>
      </c>
      <c r="L140" s="29" t="e">
        <f>'Sheet 3. Total Amounts '!L140/'Formula Calculations (LOCKED)'!B140</f>
        <v>#DIV/0!</v>
      </c>
      <c r="M140" s="29" t="e">
        <f>'Sheet 3. Total Amounts '!M140/'Formula Calculations (LOCKED)'!B140</f>
        <v>#DIV/0!</v>
      </c>
      <c r="N140" s="51" t="e">
        <f>'Sheet 3. Total Amounts '!N140/'Formula Calculations (LOCKED)'!B140</f>
        <v>#DIV/0!</v>
      </c>
    </row>
    <row r="141" spans="1:14" x14ac:dyDescent="0.2">
      <c r="A141" s="7">
        <f>'Sheet 2. County Level Data'!A139</f>
        <v>0</v>
      </c>
      <c r="B141" s="29" t="e">
        <f>'Sheet 3. Total Amounts '!B141/'Formula Calculations (LOCKED)'!B141</f>
        <v>#DIV/0!</v>
      </c>
      <c r="C141" s="52" t="e">
        <f>'Sheet 3. Total Amounts '!C141/'Formula Calculations (LOCKED)'!$B141</f>
        <v>#DIV/0!</v>
      </c>
      <c r="D141" s="52" t="e">
        <f>'Sheet 3. Total Amounts '!D141/'Formula Calculations (LOCKED)'!$B141</f>
        <v>#DIV/0!</v>
      </c>
      <c r="E141" s="52" t="e">
        <f>'Sheet 3. Total Amounts '!E141/'Formula Calculations (LOCKED)'!$B141</f>
        <v>#DIV/0!</v>
      </c>
      <c r="F141" s="52" t="e">
        <f>'Sheet 3. Total Amounts '!F141/'Formula Calculations (LOCKED)'!$B141</f>
        <v>#DIV/0!</v>
      </c>
      <c r="G141" s="52" t="e">
        <f>'Sheet 3. Total Amounts '!G141/'Formula Calculations (LOCKED)'!$B141</f>
        <v>#DIV/0!</v>
      </c>
      <c r="H141" s="52" t="e">
        <f>'Sheet 3. Total Amounts '!H141/'Formula Calculations (LOCKED)'!$B141</f>
        <v>#DIV/0!</v>
      </c>
      <c r="I141" s="52" t="e">
        <f>'Sheet 3. Total Amounts '!I141/'Formula Calculations (LOCKED)'!$B141</f>
        <v>#DIV/0!</v>
      </c>
      <c r="J141" s="52" t="e">
        <f>'Sheet 3. Total Amounts '!J141/'Formula Calculations (LOCKED)'!$B141</f>
        <v>#DIV/0!</v>
      </c>
      <c r="K141" s="52" t="e">
        <f>'Sheet 3. Total Amounts '!K141/'Formula Calculations (LOCKED)'!$B141</f>
        <v>#DIV/0!</v>
      </c>
      <c r="L141" s="29" t="e">
        <f>'Sheet 3. Total Amounts '!L141/'Formula Calculations (LOCKED)'!B141</f>
        <v>#DIV/0!</v>
      </c>
      <c r="M141" s="29" t="e">
        <f>'Sheet 3. Total Amounts '!M141/'Formula Calculations (LOCKED)'!B141</f>
        <v>#DIV/0!</v>
      </c>
      <c r="N141" s="51" t="e">
        <f>'Sheet 3. Total Amounts '!N141/'Formula Calculations (LOCKED)'!B141</f>
        <v>#DIV/0!</v>
      </c>
    </row>
    <row r="142" spans="1:14" x14ac:dyDescent="0.2">
      <c r="A142" s="7">
        <f>'Sheet 2. County Level Data'!A140</f>
        <v>0</v>
      </c>
      <c r="B142" s="29" t="e">
        <f>'Sheet 3. Total Amounts '!B142/'Formula Calculations (LOCKED)'!B142</f>
        <v>#DIV/0!</v>
      </c>
      <c r="C142" s="52" t="e">
        <f>'Sheet 3. Total Amounts '!C142/'Formula Calculations (LOCKED)'!$B142</f>
        <v>#DIV/0!</v>
      </c>
      <c r="D142" s="52" t="e">
        <f>'Sheet 3. Total Amounts '!D142/'Formula Calculations (LOCKED)'!$B142</f>
        <v>#DIV/0!</v>
      </c>
      <c r="E142" s="52" t="e">
        <f>'Sheet 3. Total Amounts '!E142/'Formula Calculations (LOCKED)'!$B142</f>
        <v>#DIV/0!</v>
      </c>
      <c r="F142" s="52" t="e">
        <f>'Sheet 3. Total Amounts '!F142/'Formula Calculations (LOCKED)'!$B142</f>
        <v>#DIV/0!</v>
      </c>
      <c r="G142" s="52" t="e">
        <f>'Sheet 3. Total Amounts '!G142/'Formula Calculations (LOCKED)'!$B142</f>
        <v>#DIV/0!</v>
      </c>
      <c r="H142" s="52" t="e">
        <f>'Sheet 3. Total Amounts '!H142/'Formula Calculations (LOCKED)'!$B142</f>
        <v>#DIV/0!</v>
      </c>
      <c r="I142" s="52" t="e">
        <f>'Sheet 3. Total Amounts '!I142/'Formula Calculations (LOCKED)'!$B142</f>
        <v>#DIV/0!</v>
      </c>
      <c r="J142" s="52" t="e">
        <f>'Sheet 3. Total Amounts '!J142/'Formula Calculations (LOCKED)'!$B142</f>
        <v>#DIV/0!</v>
      </c>
      <c r="K142" s="52" t="e">
        <f>'Sheet 3. Total Amounts '!K142/'Formula Calculations (LOCKED)'!$B142</f>
        <v>#DIV/0!</v>
      </c>
      <c r="L142" s="29" t="e">
        <f>'Sheet 3. Total Amounts '!L142/'Formula Calculations (LOCKED)'!B142</f>
        <v>#DIV/0!</v>
      </c>
      <c r="M142" s="29" t="e">
        <f>'Sheet 3. Total Amounts '!M142/'Formula Calculations (LOCKED)'!B142</f>
        <v>#DIV/0!</v>
      </c>
      <c r="N142" s="51" t="e">
        <f>'Sheet 3. Total Amounts '!N142/'Formula Calculations (LOCKED)'!B142</f>
        <v>#DIV/0!</v>
      </c>
    </row>
    <row r="143" spans="1:14" x14ac:dyDescent="0.2">
      <c r="A143" s="7">
        <f>'Sheet 2. County Level Data'!A141</f>
        <v>0</v>
      </c>
      <c r="B143" s="29" t="e">
        <f>'Sheet 3. Total Amounts '!B143/'Formula Calculations (LOCKED)'!B143</f>
        <v>#DIV/0!</v>
      </c>
      <c r="C143" s="52" t="e">
        <f>'Sheet 3. Total Amounts '!C143/'Formula Calculations (LOCKED)'!$B143</f>
        <v>#DIV/0!</v>
      </c>
      <c r="D143" s="52" t="e">
        <f>'Sheet 3. Total Amounts '!D143/'Formula Calculations (LOCKED)'!$B143</f>
        <v>#DIV/0!</v>
      </c>
      <c r="E143" s="52" t="e">
        <f>'Sheet 3. Total Amounts '!E143/'Formula Calculations (LOCKED)'!$B143</f>
        <v>#DIV/0!</v>
      </c>
      <c r="F143" s="52" t="e">
        <f>'Sheet 3. Total Amounts '!F143/'Formula Calculations (LOCKED)'!$B143</f>
        <v>#DIV/0!</v>
      </c>
      <c r="G143" s="52" t="e">
        <f>'Sheet 3. Total Amounts '!G143/'Formula Calculations (LOCKED)'!$B143</f>
        <v>#DIV/0!</v>
      </c>
      <c r="H143" s="52" t="e">
        <f>'Sheet 3. Total Amounts '!H143/'Formula Calculations (LOCKED)'!$B143</f>
        <v>#DIV/0!</v>
      </c>
      <c r="I143" s="52" t="e">
        <f>'Sheet 3. Total Amounts '!I143/'Formula Calculations (LOCKED)'!$B143</f>
        <v>#DIV/0!</v>
      </c>
      <c r="J143" s="52" t="e">
        <f>'Sheet 3. Total Amounts '!J143/'Formula Calculations (LOCKED)'!$B143</f>
        <v>#DIV/0!</v>
      </c>
      <c r="K143" s="52" t="e">
        <f>'Sheet 3. Total Amounts '!K143/'Formula Calculations (LOCKED)'!$B143</f>
        <v>#DIV/0!</v>
      </c>
      <c r="L143" s="29" t="e">
        <f>'Sheet 3. Total Amounts '!L143/'Formula Calculations (LOCKED)'!B143</f>
        <v>#DIV/0!</v>
      </c>
      <c r="M143" s="29" t="e">
        <f>'Sheet 3. Total Amounts '!M143/'Formula Calculations (LOCKED)'!B143</f>
        <v>#DIV/0!</v>
      </c>
      <c r="N143" s="51" t="e">
        <f>'Sheet 3. Total Amounts '!N143/'Formula Calculations (LOCKED)'!B143</f>
        <v>#DIV/0!</v>
      </c>
    </row>
    <row r="144" spans="1:14" x14ac:dyDescent="0.2">
      <c r="A144" s="7">
        <f>'Sheet 2. County Level Data'!A142</f>
        <v>0</v>
      </c>
      <c r="B144" s="29" t="e">
        <f>'Sheet 3. Total Amounts '!B144/'Formula Calculations (LOCKED)'!B144</f>
        <v>#DIV/0!</v>
      </c>
      <c r="C144" s="52" t="e">
        <f>'Sheet 3. Total Amounts '!C144/'Formula Calculations (LOCKED)'!$B144</f>
        <v>#DIV/0!</v>
      </c>
      <c r="D144" s="52" t="e">
        <f>'Sheet 3. Total Amounts '!D144/'Formula Calculations (LOCKED)'!$B144</f>
        <v>#DIV/0!</v>
      </c>
      <c r="E144" s="52" t="e">
        <f>'Sheet 3. Total Amounts '!E144/'Formula Calculations (LOCKED)'!$B144</f>
        <v>#DIV/0!</v>
      </c>
      <c r="F144" s="52" t="e">
        <f>'Sheet 3. Total Amounts '!F144/'Formula Calculations (LOCKED)'!$B144</f>
        <v>#DIV/0!</v>
      </c>
      <c r="G144" s="52" t="e">
        <f>'Sheet 3. Total Amounts '!G144/'Formula Calculations (LOCKED)'!$B144</f>
        <v>#DIV/0!</v>
      </c>
      <c r="H144" s="52" t="e">
        <f>'Sheet 3. Total Amounts '!H144/'Formula Calculations (LOCKED)'!$B144</f>
        <v>#DIV/0!</v>
      </c>
      <c r="I144" s="52" t="e">
        <f>'Sheet 3. Total Amounts '!I144/'Formula Calculations (LOCKED)'!$B144</f>
        <v>#DIV/0!</v>
      </c>
      <c r="J144" s="52" t="e">
        <f>'Sheet 3. Total Amounts '!J144/'Formula Calculations (LOCKED)'!$B144</f>
        <v>#DIV/0!</v>
      </c>
      <c r="K144" s="52" t="e">
        <f>'Sheet 3. Total Amounts '!K144/'Formula Calculations (LOCKED)'!$B144</f>
        <v>#DIV/0!</v>
      </c>
      <c r="L144" s="29" t="e">
        <f>'Sheet 3. Total Amounts '!L144/'Formula Calculations (LOCKED)'!B144</f>
        <v>#DIV/0!</v>
      </c>
      <c r="M144" s="29" t="e">
        <f>'Sheet 3. Total Amounts '!M144/'Formula Calculations (LOCKED)'!B144</f>
        <v>#DIV/0!</v>
      </c>
      <c r="N144" s="51" t="e">
        <f>'Sheet 3. Total Amounts '!N144/'Formula Calculations (LOCKED)'!B144</f>
        <v>#DIV/0!</v>
      </c>
    </row>
    <row r="145" spans="1:14" x14ac:dyDescent="0.2">
      <c r="A145" s="7">
        <f>'Sheet 2. County Level Data'!A143</f>
        <v>0</v>
      </c>
      <c r="B145" s="29" t="e">
        <f>'Sheet 3. Total Amounts '!B145/'Formula Calculations (LOCKED)'!B145</f>
        <v>#DIV/0!</v>
      </c>
      <c r="C145" s="52" t="e">
        <f>'Sheet 3. Total Amounts '!C145/'Formula Calculations (LOCKED)'!$B145</f>
        <v>#DIV/0!</v>
      </c>
      <c r="D145" s="52" t="e">
        <f>'Sheet 3. Total Amounts '!D145/'Formula Calculations (LOCKED)'!$B145</f>
        <v>#DIV/0!</v>
      </c>
      <c r="E145" s="52" t="e">
        <f>'Sheet 3. Total Amounts '!E145/'Formula Calculations (LOCKED)'!$B145</f>
        <v>#DIV/0!</v>
      </c>
      <c r="F145" s="52" t="e">
        <f>'Sheet 3. Total Amounts '!F145/'Formula Calculations (LOCKED)'!$B145</f>
        <v>#DIV/0!</v>
      </c>
      <c r="G145" s="52" t="e">
        <f>'Sheet 3. Total Amounts '!G145/'Formula Calculations (LOCKED)'!$B145</f>
        <v>#DIV/0!</v>
      </c>
      <c r="H145" s="52" t="e">
        <f>'Sheet 3. Total Amounts '!H145/'Formula Calculations (LOCKED)'!$B145</f>
        <v>#DIV/0!</v>
      </c>
      <c r="I145" s="52" t="e">
        <f>'Sheet 3. Total Amounts '!I145/'Formula Calculations (LOCKED)'!$B145</f>
        <v>#DIV/0!</v>
      </c>
      <c r="J145" s="52" t="e">
        <f>'Sheet 3. Total Amounts '!J145/'Formula Calculations (LOCKED)'!$B145</f>
        <v>#DIV/0!</v>
      </c>
      <c r="K145" s="52" t="e">
        <f>'Sheet 3. Total Amounts '!K145/'Formula Calculations (LOCKED)'!$B145</f>
        <v>#DIV/0!</v>
      </c>
      <c r="L145" s="29" t="e">
        <f>'Sheet 3. Total Amounts '!L145/'Formula Calculations (LOCKED)'!B145</f>
        <v>#DIV/0!</v>
      </c>
      <c r="M145" s="29" t="e">
        <f>'Sheet 3. Total Amounts '!M145/'Formula Calculations (LOCKED)'!B145</f>
        <v>#DIV/0!</v>
      </c>
      <c r="N145" s="51" t="e">
        <f>'Sheet 3. Total Amounts '!N145/'Formula Calculations (LOCKED)'!B145</f>
        <v>#DIV/0!</v>
      </c>
    </row>
    <row r="146" spans="1:14" x14ac:dyDescent="0.2">
      <c r="A146" s="7">
        <f>'Sheet 2. County Level Data'!A144</f>
        <v>0</v>
      </c>
      <c r="B146" s="29" t="e">
        <f>'Sheet 3. Total Amounts '!B146/'Formula Calculations (LOCKED)'!B146</f>
        <v>#DIV/0!</v>
      </c>
      <c r="C146" s="52" t="e">
        <f>'Sheet 3. Total Amounts '!C146/'Formula Calculations (LOCKED)'!$B146</f>
        <v>#DIV/0!</v>
      </c>
      <c r="D146" s="52" t="e">
        <f>'Sheet 3. Total Amounts '!D146/'Formula Calculations (LOCKED)'!$B146</f>
        <v>#DIV/0!</v>
      </c>
      <c r="E146" s="52" t="e">
        <f>'Sheet 3. Total Amounts '!E146/'Formula Calculations (LOCKED)'!$B146</f>
        <v>#DIV/0!</v>
      </c>
      <c r="F146" s="52" t="e">
        <f>'Sheet 3. Total Amounts '!F146/'Formula Calculations (LOCKED)'!$B146</f>
        <v>#DIV/0!</v>
      </c>
      <c r="G146" s="52" t="e">
        <f>'Sheet 3. Total Amounts '!G146/'Formula Calculations (LOCKED)'!$B146</f>
        <v>#DIV/0!</v>
      </c>
      <c r="H146" s="52" t="e">
        <f>'Sheet 3. Total Amounts '!H146/'Formula Calculations (LOCKED)'!$B146</f>
        <v>#DIV/0!</v>
      </c>
      <c r="I146" s="52" t="e">
        <f>'Sheet 3. Total Amounts '!I146/'Formula Calculations (LOCKED)'!$B146</f>
        <v>#DIV/0!</v>
      </c>
      <c r="J146" s="52" t="e">
        <f>'Sheet 3. Total Amounts '!J146/'Formula Calculations (LOCKED)'!$B146</f>
        <v>#DIV/0!</v>
      </c>
      <c r="K146" s="52" t="e">
        <f>'Sheet 3. Total Amounts '!K146/'Formula Calculations (LOCKED)'!$B146</f>
        <v>#DIV/0!</v>
      </c>
      <c r="L146" s="29" t="e">
        <f>'Sheet 3. Total Amounts '!L146/'Formula Calculations (LOCKED)'!B146</f>
        <v>#DIV/0!</v>
      </c>
      <c r="M146" s="29" t="e">
        <f>'Sheet 3. Total Amounts '!M146/'Formula Calculations (LOCKED)'!B146</f>
        <v>#DIV/0!</v>
      </c>
      <c r="N146" s="51" t="e">
        <f>'Sheet 3. Total Amounts '!N146/'Formula Calculations (LOCKED)'!B146</f>
        <v>#DIV/0!</v>
      </c>
    </row>
    <row r="147" spans="1:14" x14ac:dyDescent="0.2">
      <c r="A147" s="7">
        <f>'Sheet 2. County Level Data'!A145</f>
        <v>0</v>
      </c>
      <c r="B147" s="29" t="e">
        <f>'Sheet 3. Total Amounts '!B147/'Formula Calculations (LOCKED)'!B147</f>
        <v>#DIV/0!</v>
      </c>
      <c r="C147" s="52" t="e">
        <f>'Sheet 3. Total Amounts '!C147/'Formula Calculations (LOCKED)'!$B147</f>
        <v>#DIV/0!</v>
      </c>
      <c r="D147" s="52" t="e">
        <f>'Sheet 3. Total Amounts '!D147/'Formula Calculations (LOCKED)'!$B147</f>
        <v>#DIV/0!</v>
      </c>
      <c r="E147" s="52" t="e">
        <f>'Sheet 3. Total Amounts '!E147/'Formula Calculations (LOCKED)'!$B147</f>
        <v>#DIV/0!</v>
      </c>
      <c r="F147" s="52" t="e">
        <f>'Sheet 3. Total Amounts '!F147/'Formula Calculations (LOCKED)'!$B147</f>
        <v>#DIV/0!</v>
      </c>
      <c r="G147" s="52" t="e">
        <f>'Sheet 3. Total Amounts '!G147/'Formula Calculations (LOCKED)'!$B147</f>
        <v>#DIV/0!</v>
      </c>
      <c r="H147" s="52" t="e">
        <f>'Sheet 3. Total Amounts '!H147/'Formula Calculations (LOCKED)'!$B147</f>
        <v>#DIV/0!</v>
      </c>
      <c r="I147" s="52" t="e">
        <f>'Sheet 3. Total Amounts '!I147/'Formula Calculations (LOCKED)'!$B147</f>
        <v>#DIV/0!</v>
      </c>
      <c r="J147" s="52" t="e">
        <f>'Sheet 3. Total Amounts '!J147/'Formula Calculations (LOCKED)'!$B147</f>
        <v>#DIV/0!</v>
      </c>
      <c r="K147" s="52" t="e">
        <f>'Sheet 3. Total Amounts '!K147/'Formula Calculations (LOCKED)'!$B147</f>
        <v>#DIV/0!</v>
      </c>
      <c r="L147" s="29" t="e">
        <f>'Sheet 3. Total Amounts '!L147/'Formula Calculations (LOCKED)'!B147</f>
        <v>#DIV/0!</v>
      </c>
      <c r="M147" s="29" t="e">
        <f>'Sheet 3. Total Amounts '!M147/'Formula Calculations (LOCKED)'!B147</f>
        <v>#DIV/0!</v>
      </c>
      <c r="N147" s="51" t="e">
        <f>'Sheet 3. Total Amounts '!N147/'Formula Calculations (LOCKED)'!B147</f>
        <v>#DIV/0!</v>
      </c>
    </row>
    <row r="148" spans="1:14" x14ac:dyDescent="0.2">
      <c r="A148" s="7">
        <f>'Sheet 2. County Level Data'!A146</f>
        <v>0</v>
      </c>
      <c r="B148" s="29" t="e">
        <f>'Sheet 3. Total Amounts '!B148/'Formula Calculations (LOCKED)'!B148</f>
        <v>#DIV/0!</v>
      </c>
      <c r="C148" s="52" t="e">
        <f>'Sheet 3. Total Amounts '!C148/'Formula Calculations (LOCKED)'!$B148</f>
        <v>#DIV/0!</v>
      </c>
      <c r="D148" s="52" t="e">
        <f>'Sheet 3. Total Amounts '!D148/'Formula Calculations (LOCKED)'!$B148</f>
        <v>#DIV/0!</v>
      </c>
      <c r="E148" s="52" t="e">
        <f>'Sheet 3. Total Amounts '!E148/'Formula Calculations (LOCKED)'!$B148</f>
        <v>#DIV/0!</v>
      </c>
      <c r="F148" s="52" t="e">
        <f>'Sheet 3. Total Amounts '!F148/'Formula Calculations (LOCKED)'!$B148</f>
        <v>#DIV/0!</v>
      </c>
      <c r="G148" s="52" t="e">
        <f>'Sheet 3. Total Amounts '!G148/'Formula Calculations (LOCKED)'!$B148</f>
        <v>#DIV/0!</v>
      </c>
      <c r="H148" s="52" t="e">
        <f>'Sheet 3. Total Amounts '!H148/'Formula Calculations (LOCKED)'!$B148</f>
        <v>#DIV/0!</v>
      </c>
      <c r="I148" s="52" t="e">
        <f>'Sheet 3. Total Amounts '!I148/'Formula Calculations (LOCKED)'!$B148</f>
        <v>#DIV/0!</v>
      </c>
      <c r="J148" s="52" t="e">
        <f>'Sheet 3. Total Amounts '!J148/'Formula Calculations (LOCKED)'!$B148</f>
        <v>#DIV/0!</v>
      </c>
      <c r="K148" s="52" t="e">
        <f>'Sheet 3. Total Amounts '!K148/'Formula Calculations (LOCKED)'!$B148</f>
        <v>#DIV/0!</v>
      </c>
      <c r="L148" s="29" t="e">
        <f>'Sheet 3. Total Amounts '!L148/'Formula Calculations (LOCKED)'!B148</f>
        <v>#DIV/0!</v>
      </c>
      <c r="M148" s="29" t="e">
        <f>'Sheet 3. Total Amounts '!M148/'Formula Calculations (LOCKED)'!B148</f>
        <v>#DIV/0!</v>
      </c>
      <c r="N148" s="51" t="e">
        <f>'Sheet 3. Total Amounts '!N148/'Formula Calculations (LOCKED)'!B148</f>
        <v>#DIV/0!</v>
      </c>
    </row>
    <row r="149" spans="1:14" x14ac:dyDescent="0.2">
      <c r="A149" s="7">
        <f>'Sheet 2. County Level Data'!A147</f>
        <v>0</v>
      </c>
      <c r="B149" s="29" t="e">
        <f>'Sheet 3. Total Amounts '!B149/'Formula Calculations (LOCKED)'!B149</f>
        <v>#DIV/0!</v>
      </c>
      <c r="C149" s="52" t="e">
        <f>'Sheet 3. Total Amounts '!C149/'Formula Calculations (LOCKED)'!$B149</f>
        <v>#DIV/0!</v>
      </c>
      <c r="D149" s="52" t="e">
        <f>'Sheet 3. Total Amounts '!D149/'Formula Calculations (LOCKED)'!$B149</f>
        <v>#DIV/0!</v>
      </c>
      <c r="E149" s="52" t="e">
        <f>'Sheet 3. Total Amounts '!E149/'Formula Calculations (LOCKED)'!$B149</f>
        <v>#DIV/0!</v>
      </c>
      <c r="F149" s="52" t="e">
        <f>'Sheet 3. Total Amounts '!F149/'Formula Calculations (LOCKED)'!$B149</f>
        <v>#DIV/0!</v>
      </c>
      <c r="G149" s="52" t="e">
        <f>'Sheet 3. Total Amounts '!G149/'Formula Calculations (LOCKED)'!$B149</f>
        <v>#DIV/0!</v>
      </c>
      <c r="H149" s="52" t="e">
        <f>'Sheet 3. Total Amounts '!H149/'Formula Calculations (LOCKED)'!$B149</f>
        <v>#DIV/0!</v>
      </c>
      <c r="I149" s="52" t="e">
        <f>'Sheet 3. Total Amounts '!I149/'Formula Calculations (LOCKED)'!$B149</f>
        <v>#DIV/0!</v>
      </c>
      <c r="J149" s="52" t="e">
        <f>'Sheet 3. Total Amounts '!J149/'Formula Calculations (LOCKED)'!$B149</f>
        <v>#DIV/0!</v>
      </c>
      <c r="K149" s="52" t="e">
        <f>'Sheet 3. Total Amounts '!K149/'Formula Calculations (LOCKED)'!$B149</f>
        <v>#DIV/0!</v>
      </c>
      <c r="L149" s="29" t="e">
        <f>'Sheet 3. Total Amounts '!L149/'Formula Calculations (LOCKED)'!B149</f>
        <v>#DIV/0!</v>
      </c>
      <c r="M149" s="29" t="e">
        <f>'Sheet 3. Total Amounts '!M149/'Formula Calculations (LOCKED)'!B149</f>
        <v>#DIV/0!</v>
      </c>
      <c r="N149" s="51" t="e">
        <f>'Sheet 3. Total Amounts '!N149/'Formula Calculations (LOCKED)'!B149</f>
        <v>#DIV/0!</v>
      </c>
    </row>
    <row r="150" spans="1:14" x14ac:dyDescent="0.2">
      <c r="A150" s="7">
        <f>'Sheet 2. County Level Data'!A148</f>
        <v>0</v>
      </c>
      <c r="B150" s="29" t="e">
        <f>'Sheet 3. Total Amounts '!B150/'Formula Calculations (LOCKED)'!B150</f>
        <v>#DIV/0!</v>
      </c>
      <c r="C150" s="52" t="e">
        <f>'Sheet 3. Total Amounts '!C150/'Formula Calculations (LOCKED)'!$B150</f>
        <v>#DIV/0!</v>
      </c>
      <c r="D150" s="52" t="e">
        <f>'Sheet 3. Total Amounts '!D150/'Formula Calculations (LOCKED)'!$B150</f>
        <v>#DIV/0!</v>
      </c>
      <c r="E150" s="52" t="e">
        <f>'Sheet 3. Total Amounts '!E150/'Formula Calculations (LOCKED)'!$B150</f>
        <v>#DIV/0!</v>
      </c>
      <c r="F150" s="52" t="e">
        <f>'Sheet 3. Total Amounts '!F150/'Formula Calculations (LOCKED)'!$B150</f>
        <v>#DIV/0!</v>
      </c>
      <c r="G150" s="52" t="e">
        <f>'Sheet 3. Total Amounts '!G150/'Formula Calculations (LOCKED)'!$B150</f>
        <v>#DIV/0!</v>
      </c>
      <c r="H150" s="52" t="e">
        <f>'Sheet 3. Total Amounts '!H150/'Formula Calculations (LOCKED)'!$B150</f>
        <v>#DIV/0!</v>
      </c>
      <c r="I150" s="52" t="e">
        <f>'Sheet 3. Total Amounts '!I150/'Formula Calculations (LOCKED)'!$B150</f>
        <v>#DIV/0!</v>
      </c>
      <c r="J150" s="52" t="e">
        <f>'Sheet 3. Total Amounts '!J150/'Formula Calculations (LOCKED)'!$B150</f>
        <v>#DIV/0!</v>
      </c>
      <c r="K150" s="52" t="e">
        <f>'Sheet 3. Total Amounts '!K150/'Formula Calculations (LOCKED)'!$B150</f>
        <v>#DIV/0!</v>
      </c>
      <c r="L150" s="29" t="e">
        <f>'Sheet 3. Total Amounts '!L150/'Formula Calculations (LOCKED)'!B150</f>
        <v>#DIV/0!</v>
      </c>
      <c r="M150" s="29" t="e">
        <f>'Sheet 3. Total Amounts '!M150/'Formula Calculations (LOCKED)'!B150</f>
        <v>#DIV/0!</v>
      </c>
      <c r="N150" s="51" t="e">
        <f>'Sheet 3. Total Amounts '!N150/'Formula Calculations (LOCKED)'!B150</f>
        <v>#DIV/0!</v>
      </c>
    </row>
    <row r="151" spans="1:14" x14ac:dyDescent="0.2">
      <c r="A151" s="7">
        <f>'Sheet 2. County Level Data'!A149</f>
        <v>0</v>
      </c>
      <c r="B151" s="29" t="e">
        <f>'Sheet 3. Total Amounts '!B151/'Formula Calculations (LOCKED)'!B151</f>
        <v>#DIV/0!</v>
      </c>
      <c r="C151" s="52" t="e">
        <f>'Sheet 3. Total Amounts '!C151/'Formula Calculations (LOCKED)'!$B151</f>
        <v>#DIV/0!</v>
      </c>
      <c r="D151" s="52" t="e">
        <f>'Sheet 3. Total Amounts '!D151/'Formula Calculations (LOCKED)'!$B151</f>
        <v>#DIV/0!</v>
      </c>
      <c r="E151" s="52" t="e">
        <f>'Sheet 3. Total Amounts '!E151/'Formula Calculations (LOCKED)'!$B151</f>
        <v>#DIV/0!</v>
      </c>
      <c r="F151" s="52" t="e">
        <f>'Sheet 3. Total Amounts '!F151/'Formula Calculations (LOCKED)'!$B151</f>
        <v>#DIV/0!</v>
      </c>
      <c r="G151" s="52" t="e">
        <f>'Sheet 3. Total Amounts '!G151/'Formula Calculations (LOCKED)'!$B151</f>
        <v>#DIV/0!</v>
      </c>
      <c r="H151" s="52" t="e">
        <f>'Sheet 3. Total Amounts '!H151/'Formula Calculations (LOCKED)'!$B151</f>
        <v>#DIV/0!</v>
      </c>
      <c r="I151" s="52" t="e">
        <f>'Sheet 3. Total Amounts '!I151/'Formula Calculations (LOCKED)'!$B151</f>
        <v>#DIV/0!</v>
      </c>
      <c r="J151" s="52" t="e">
        <f>'Sheet 3. Total Amounts '!J151/'Formula Calculations (LOCKED)'!$B151</f>
        <v>#DIV/0!</v>
      </c>
      <c r="K151" s="52" t="e">
        <f>'Sheet 3. Total Amounts '!K151/'Formula Calculations (LOCKED)'!$B151</f>
        <v>#DIV/0!</v>
      </c>
      <c r="L151" s="29" t="e">
        <f>'Sheet 3. Total Amounts '!L151/'Formula Calculations (LOCKED)'!B151</f>
        <v>#DIV/0!</v>
      </c>
      <c r="M151" s="29" t="e">
        <f>'Sheet 3. Total Amounts '!M151/'Formula Calculations (LOCKED)'!B151</f>
        <v>#DIV/0!</v>
      </c>
      <c r="N151" s="51" t="e">
        <f>'Sheet 3. Total Amounts '!N151/'Formula Calculations (LOCKED)'!B151</f>
        <v>#DIV/0!</v>
      </c>
    </row>
    <row r="152" spans="1:14" x14ac:dyDescent="0.2">
      <c r="A152" s="7">
        <f>'Sheet 2. County Level Data'!A150</f>
        <v>0</v>
      </c>
      <c r="B152" s="29" t="e">
        <f>'Sheet 3. Total Amounts '!B152/'Formula Calculations (LOCKED)'!B152</f>
        <v>#DIV/0!</v>
      </c>
      <c r="C152" s="52" t="e">
        <f>'Sheet 3. Total Amounts '!C152/'Formula Calculations (LOCKED)'!$B152</f>
        <v>#DIV/0!</v>
      </c>
      <c r="D152" s="52" t="e">
        <f>'Sheet 3. Total Amounts '!D152/'Formula Calculations (LOCKED)'!$B152</f>
        <v>#DIV/0!</v>
      </c>
      <c r="E152" s="52" t="e">
        <f>'Sheet 3. Total Amounts '!E152/'Formula Calculations (LOCKED)'!$B152</f>
        <v>#DIV/0!</v>
      </c>
      <c r="F152" s="52" t="e">
        <f>'Sheet 3. Total Amounts '!F152/'Formula Calculations (LOCKED)'!$B152</f>
        <v>#DIV/0!</v>
      </c>
      <c r="G152" s="52" t="e">
        <f>'Sheet 3. Total Amounts '!G152/'Formula Calculations (LOCKED)'!$B152</f>
        <v>#DIV/0!</v>
      </c>
      <c r="H152" s="52" t="e">
        <f>'Sheet 3. Total Amounts '!H152/'Formula Calculations (LOCKED)'!$B152</f>
        <v>#DIV/0!</v>
      </c>
      <c r="I152" s="52" t="e">
        <f>'Sheet 3. Total Amounts '!I152/'Formula Calculations (LOCKED)'!$B152</f>
        <v>#DIV/0!</v>
      </c>
      <c r="J152" s="52" t="e">
        <f>'Sheet 3. Total Amounts '!J152/'Formula Calculations (LOCKED)'!$B152</f>
        <v>#DIV/0!</v>
      </c>
      <c r="K152" s="52" t="e">
        <f>'Sheet 3. Total Amounts '!K152/'Formula Calculations (LOCKED)'!$B152</f>
        <v>#DIV/0!</v>
      </c>
      <c r="L152" s="29" t="e">
        <f>'Sheet 3. Total Amounts '!L152/'Formula Calculations (LOCKED)'!B152</f>
        <v>#DIV/0!</v>
      </c>
      <c r="M152" s="29" t="e">
        <f>'Sheet 3. Total Amounts '!M152/'Formula Calculations (LOCKED)'!B152</f>
        <v>#DIV/0!</v>
      </c>
      <c r="N152" s="51" t="e">
        <f>'Sheet 3. Total Amounts '!N152/'Formula Calculations (LOCKED)'!B152</f>
        <v>#DIV/0!</v>
      </c>
    </row>
    <row r="153" spans="1:14" x14ac:dyDescent="0.2">
      <c r="A153" s="7">
        <f>'Sheet 2. County Level Data'!A151</f>
        <v>0</v>
      </c>
      <c r="B153" s="29" t="e">
        <f>'Sheet 3. Total Amounts '!B153/'Formula Calculations (LOCKED)'!B153</f>
        <v>#DIV/0!</v>
      </c>
      <c r="C153" s="52" t="e">
        <f>'Sheet 3. Total Amounts '!C153/'Formula Calculations (LOCKED)'!$B153</f>
        <v>#DIV/0!</v>
      </c>
      <c r="D153" s="52" t="e">
        <f>'Sheet 3. Total Amounts '!D153/'Formula Calculations (LOCKED)'!$B153</f>
        <v>#DIV/0!</v>
      </c>
      <c r="E153" s="52" t="e">
        <f>'Sheet 3. Total Amounts '!E153/'Formula Calculations (LOCKED)'!$B153</f>
        <v>#DIV/0!</v>
      </c>
      <c r="F153" s="52" t="e">
        <f>'Sheet 3. Total Amounts '!F153/'Formula Calculations (LOCKED)'!$B153</f>
        <v>#DIV/0!</v>
      </c>
      <c r="G153" s="52" t="e">
        <f>'Sheet 3. Total Amounts '!G153/'Formula Calculations (LOCKED)'!$B153</f>
        <v>#DIV/0!</v>
      </c>
      <c r="H153" s="52" t="e">
        <f>'Sheet 3. Total Amounts '!H153/'Formula Calculations (LOCKED)'!$B153</f>
        <v>#DIV/0!</v>
      </c>
      <c r="I153" s="52" t="e">
        <f>'Sheet 3. Total Amounts '!I153/'Formula Calculations (LOCKED)'!$B153</f>
        <v>#DIV/0!</v>
      </c>
      <c r="J153" s="52" t="e">
        <f>'Sheet 3. Total Amounts '!J153/'Formula Calculations (LOCKED)'!$B153</f>
        <v>#DIV/0!</v>
      </c>
      <c r="K153" s="52" t="e">
        <f>'Sheet 3. Total Amounts '!K153/'Formula Calculations (LOCKED)'!$B153</f>
        <v>#DIV/0!</v>
      </c>
      <c r="L153" s="29" t="e">
        <f>'Sheet 3. Total Amounts '!L153/'Formula Calculations (LOCKED)'!B153</f>
        <v>#DIV/0!</v>
      </c>
      <c r="M153" s="29" t="e">
        <f>'Sheet 3. Total Amounts '!M153/'Formula Calculations (LOCKED)'!B153</f>
        <v>#DIV/0!</v>
      </c>
      <c r="N153" s="51" t="e">
        <f>'Sheet 3. Total Amounts '!N153/'Formula Calculations (LOCKED)'!B153</f>
        <v>#DIV/0!</v>
      </c>
    </row>
    <row r="154" spans="1:14" x14ac:dyDescent="0.2">
      <c r="A154" s="7">
        <f>'Sheet 2. County Level Data'!A152</f>
        <v>0</v>
      </c>
      <c r="B154" s="29" t="e">
        <f>'Sheet 3. Total Amounts '!B154/'Formula Calculations (LOCKED)'!B154</f>
        <v>#DIV/0!</v>
      </c>
      <c r="C154" s="52" t="e">
        <f>'Sheet 3. Total Amounts '!C154/'Formula Calculations (LOCKED)'!$B154</f>
        <v>#DIV/0!</v>
      </c>
      <c r="D154" s="52" t="e">
        <f>'Sheet 3. Total Amounts '!D154/'Formula Calculations (LOCKED)'!$B154</f>
        <v>#DIV/0!</v>
      </c>
      <c r="E154" s="52" t="e">
        <f>'Sheet 3. Total Amounts '!E154/'Formula Calculations (LOCKED)'!$B154</f>
        <v>#DIV/0!</v>
      </c>
      <c r="F154" s="52" t="e">
        <f>'Sheet 3. Total Amounts '!F154/'Formula Calculations (LOCKED)'!$B154</f>
        <v>#DIV/0!</v>
      </c>
      <c r="G154" s="52" t="e">
        <f>'Sheet 3. Total Amounts '!G154/'Formula Calculations (LOCKED)'!$B154</f>
        <v>#DIV/0!</v>
      </c>
      <c r="H154" s="52" t="e">
        <f>'Sheet 3. Total Amounts '!H154/'Formula Calculations (LOCKED)'!$B154</f>
        <v>#DIV/0!</v>
      </c>
      <c r="I154" s="52" t="e">
        <f>'Sheet 3. Total Amounts '!I154/'Formula Calculations (LOCKED)'!$B154</f>
        <v>#DIV/0!</v>
      </c>
      <c r="J154" s="52" t="e">
        <f>'Sheet 3. Total Amounts '!J154/'Formula Calculations (LOCKED)'!$B154</f>
        <v>#DIV/0!</v>
      </c>
      <c r="K154" s="52" t="e">
        <f>'Sheet 3. Total Amounts '!K154/'Formula Calculations (LOCKED)'!$B154</f>
        <v>#DIV/0!</v>
      </c>
      <c r="L154" s="29" t="e">
        <f>'Sheet 3. Total Amounts '!L154/'Formula Calculations (LOCKED)'!B154</f>
        <v>#DIV/0!</v>
      </c>
      <c r="M154" s="29" t="e">
        <f>'Sheet 3. Total Amounts '!M154/'Formula Calculations (LOCKED)'!B154</f>
        <v>#DIV/0!</v>
      </c>
      <c r="N154" s="51" t="e">
        <f>'Sheet 3. Total Amounts '!N154/'Formula Calculations (LOCKED)'!B154</f>
        <v>#DIV/0!</v>
      </c>
    </row>
    <row r="155" spans="1:14" x14ac:dyDescent="0.2">
      <c r="A155" s="7">
        <f>'Sheet 2. County Level Data'!A153</f>
        <v>0</v>
      </c>
      <c r="B155" s="29" t="e">
        <f>'Sheet 3. Total Amounts '!B155/'Formula Calculations (LOCKED)'!B155</f>
        <v>#DIV/0!</v>
      </c>
      <c r="C155" s="52" t="e">
        <f>'Sheet 3. Total Amounts '!C155/'Formula Calculations (LOCKED)'!$B155</f>
        <v>#DIV/0!</v>
      </c>
      <c r="D155" s="52" t="e">
        <f>'Sheet 3. Total Amounts '!D155/'Formula Calculations (LOCKED)'!$B155</f>
        <v>#DIV/0!</v>
      </c>
      <c r="E155" s="52" t="e">
        <f>'Sheet 3. Total Amounts '!E155/'Formula Calculations (LOCKED)'!$B155</f>
        <v>#DIV/0!</v>
      </c>
      <c r="F155" s="52" t="e">
        <f>'Sheet 3. Total Amounts '!F155/'Formula Calculations (LOCKED)'!$B155</f>
        <v>#DIV/0!</v>
      </c>
      <c r="G155" s="52" t="e">
        <f>'Sheet 3. Total Amounts '!G155/'Formula Calculations (LOCKED)'!$B155</f>
        <v>#DIV/0!</v>
      </c>
      <c r="H155" s="52" t="e">
        <f>'Sheet 3. Total Amounts '!H155/'Formula Calculations (LOCKED)'!$B155</f>
        <v>#DIV/0!</v>
      </c>
      <c r="I155" s="52" t="e">
        <f>'Sheet 3. Total Amounts '!I155/'Formula Calculations (LOCKED)'!$B155</f>
        <v>#DIV/0!</v>
      </c>
      <c r="J155" s="52" t="e">
        <f>'Sheet 3. Total Amounts '!J155/'Formula Calculations (LOCKED)'!$B155</f>
        <v>#DIV/0!</v>
      </c>
      <c r="K155" s="52" t="e">
        <f>'Sheet 3. Total Amounts '!K155/'Formula Calculations (LOCKED)'!$B155</f>
        <v>#DIV/0!</v>
      </c>
      <c r="L155" s="29" t="e">
        <f>'Sheet 3. Total Amounts '!L155/'Formula Calculations (LOCKED)'!B155</f>
        <v>#DIV/0!</v>
      </c>
      <c r="M155" s="29" t="e">
        <f>'Sheet 3. Total Amounts '!M155/'Formula Calculations (LOCKED)'!B155</f>
        <v>#DIV/0!</v>
      </c>
      <c r="N155" s="51" t="e">
        <f>'Sheet 3. Total Amounts '!N155/'Formula Calculations (LOCKED)'!B155</f>
        <v>#DIV/0!</v>
      </c>
    </row>
    <row r="156" spans="1:14" x14ac:dyDescent="0.2">
      <c r="A156" s="7">
        <f>'Sheet 2. County Level Data'!A154</f>
        <v>0</v>
      </c>
      <c r="B156" s="29" t="e">
        <f>'Sheet 3. Total Amounts '!B156/'Formula Calculations (LOCKED)'!B156</f>
        <v>#DIV/0!</v>
      </c>
      <c r="C156" s="52" t="e">
        <f>'Sheet 3. Total Amounts '!C156/'Formula Calculations (LOCKED)'!$B156</f>
        <v>#DIV/0!</v>
      </c>
      <c r="D156" s="52" t="e">
        <f>'Sheet 3. Total Amounts '!D156/'Formula Calculations (LOCKED)'!$B156</f>
        <v>#DIV/0!</v>
      </c>
      <c r="E156" s="52" t="e">
        <f>'Sheet 3. Total Amounts '!E156/'Formula Calculations (LOCKED)'!$B156</f>
        <v>#DIV/0!</v>
      </c>
      <c r="F156" s="52" t="e">
        <f>'Sheet 3. Total Amounts '!F156/'Formula Calculations (LOCKED)'!$B156</f>
        <v>#DIV/0!</v>
      </c>
      <c r="G156" s="52" t="e">
        <f>'Sheet 3. Total Amounts '!G156/'Formula Calculations (LOCKED)'!$B156</f>
        <v>#DIV/0!</v>
      </c>
      <c r="H156" s="52" t="e">
        <f>'Sheet 3. Total Amounts '!H156/'Formula Calculations (LOCKED)'!$B156</f>
        <v>#DIV/0!</v>
      </c>
      <c r="I156" s="52" t="e">
        <f>'Sheet 3. Total Amounts '!I156/'Formula Calculations (LOCKED)'!$B156</f>
        <v>#DIV/0!</v>
      </c>
      <c r="J156" s="52" t="e">
        <f>'Sheet 3. Total Amounts '!J156/'Formula Calculations (LOCKED)'!$B156</f>
        <v>#DIV/0!</v>
      </c>
      <c r="K156" s="52" t="e">
        <f>'Sheet 3. Total Amounts '!K156/'Formula Calculations (LOCKED)'!$B156</f>
        <v>#DIV/0!</v>
      </c>
      <c r="L156" s="29" t="e">
        <f>'Sheet 3. Total Amounts '!L156/'Formula Calculations (LOCKED)'!B156</f>
        <v>#DIV/0!</v>
      </c>
      <c r="M156" s="29" t="e">
        <f>'Sheet 3. Total Amounts '!M156/'Formula Calculations (LOCKED)'!B156</f>
        <v>#DIV/0!</v>
      </c>
      <c r="N156" s="51" t="e">
        <f>'Sheet 3. Total Amounts '!N156/'Formula Calculations (LOCKED)'!B156</f>
        <v>#DIV/0!</v>
      </c>
    </row>
    <row r="157" spans="1:14" x14ac:dyDescent="0.2">
      <c r="A157" s="7">
        <f>'Sheet 2. County Level Data'!A155</f>
        <v>0</v>
      </c>
      <c r="B157" s="29" t="e">
        <f>'Sheet 3. Total Amounts '!B157/'Formula Calculations (LOCKED)'!B157</f>
        <v>#DIV/0!</v>
      </c>
      <c r="C157" s="52" t="e">
        <f>'Sheet 3. Total Amounts '!C157/'Formula Calculations (LOCKED)'!$B157</f>
        <v>#DIV/0!</v>
      </c>
      <c r="D157" s="52" t="e">
        <f>'Sheet 3. Total Amounts '!D157/'Formula Calculations (LOCKED)'!$B157</f>
        <v>#DIV/0!</v>
      </c>
      <c r="E157" s="52" t="e">
        <f>'Sheet 3. Total Amounts '!E157/'Formula Calculations (LOCKED)'!$B157</f>
        <v>#DIV/0!</v>
      </c>
      <c r="F157" s="52" t="e">
        <f>'Sheet 3. Total Amounts '!F157/'Formula Calculations (LOCKED)'!$B157</f>
        <v>#DIV/0!</v>
      </c>
      <c r="G157" s="52" t="e">
        <f>'Sheet 3. Total Amounts '!G157/'Formula Calculations (LOCKED)'!$B157</f>
        <v>#DIV/0!</v>
      </c>
      <c r="H157" s="52" t="e">
        <f>'Sheet 3. Total Amounts '!H157/'Formula Calculations (LOCKED)'!$B157</f>
        <v>#DIV/0!</v>
      </c>
      <c r="I157" s="52" t="e">
        <f>'Sheet 3. Total Amounts '!I157/'Formula Calculations (LOCKED)'!$B157</f>
        <v>#DIV/0!</v>
      </c>
      <c r="J157" s="52" t="e">
        <f>'Sheet 3. Total Amounts '!J157/'Formula Calculations (LOCKED)'!$B157</f>
        <v>#DIV/0!</v>
      </c>
      <c r="K157" s="52" t="e">
        <f>'Sheet 3. Total Amounts '!K157/'Formula Calculations (LOCKED)'!$B157</f>
        <v>#DIV/0!</v>
      </c>
      <c r="L157" s="29" t="e">
        <f>'Sheet 3. Total Amounts '!L157/'Formula Calculations (LOCKED)'!B157</f>
        <v>#DIV/0!</v>
      </c>
      <c r="M157" s="29" t="e">
        <f>'Sheet 3. Total Amounts '!M157/'Formula Calculations (LOCKED)'!B157</f>
        <v>#DIV/0!</v>
      </c>
      <c r="N157" s="51" t="e">
        <f>'Sheet 3. Total Amounts '!N157/'Formula Calculations (LOCKED)'!B157</f>
        <v>#DIV/0!</v>
      </c>
    </row>
    <row r="158" spans="1:14" x14ac:dyDescent="0.2">
      <c r="A158" s="7">
        <f>'Sheet 2. County Level Data'!A156</f>
        <v>0</v>
      </c>
      <c r="B158" s="29" t="e">
        <f>'Sheet 3. Total Amounts '!B158/'Formula Calculations (LOCKED)'!B158</f>
        <v>#DIV/0!</v>
      </c>
      <c r="C158" s="52" t="e">
        <f>'Sheet 3. Total Amounts '!C158/'Formula Calculations (LOCKED)'!$B158</f>
        <v>#DIV/0!</v>
      </c>
      <c r="D158" s="52" t="e">
        <f>'Sheet 3. Total Amounts '!D158/'Formula Calculations (LOCKED)'!$B158</f>
        <v>#DIV/0!</v>
      </c>
      <c r="E158" s="52" t="e">
        <f>'Sheet 3. Total Amounts '!E158/'Formula Calculations (LOCKED)'!$B158</f>
        <v>#DIV/0!</v>
      </c>
      <c r="F158" s="52" t="e">
        <f>'Sheet 3. Total Amounts '!F158/'Formula Calculations (LOCKED)'!$B158</f>
        <v>#DIV/0!</v>
      </c>
      <c r="G158" s="52" t="e">
        <f>'Sheet 3. Total Amounts '!G158/'Formula Calculations (LOCKED)'!$B158</f>
        <v>#DIV/0!</v>
      </c>
      <c r="H158" s="52" t="e">
        <f>'Sheet 3. Total Amounts '!H158/'Formula Calculations (LOCKED)'!$B158</f>
        <v>#DIV/0!</v>
      </c>
      <c r="I158" s="52" t="e">
        <f>'Sheet 3. Total Amounts '!I158/'Formula Calculations (LOCKED)'!$B158</f>
        <v>#DIV/0!</v>
      </c>
      <c r="J158" s="52" t="e">
        <f>'Sheet 3. Total Amounts '!J158/'Formula Calculations (LOCKED)'!$B158</f>
        <v>#DIV/0!</v>
      </c>
      <c r="K158" s="52" t="e">
        <f>'Sheet 3. Total Amounts '!K158/'Formula Calculations (LOCKED)'!$B158</f>
        <v>#DIV/0!</v>
      </c>
      <c r="L158" s="29" t="e">
        <f>'Sheet 3. Total Amounts '!L158/'Formula Calculations (LOCKED)'!B158</f>
        <v>#DIV/0!</v>
      </c>
      <c r="M158" s="29" t="e">
        <f>'Sheet 3. Total Amounts '!M158/'Formula Calculations (LOCKED)'!B158</f>
        <v>#DIV/0!</v>
      </c>
      <c r="N158" s="51" t="e">
        <f>'Sheet 3. Total Amounts '!N158/'Formula Calculations (LOCKED)'!B158</f>
        <v>#DIV/0!</v>
      </c>
    </row>
    <row r="159" spans="1:14" x14ac:dyDescent="0.2">
      <c r="A159" s="7">
        <f>'Sheet 2. County Level Data'!A157</f>
        <v>0</v>
      </c>
      <c r="B159" s="29" t="e">
        <f>'Sheet 3. Total Amounts '!B159/'Formula Calculations (LOCKED)'!B159</f>
        <v>#DIV/0!</v>
      </c>
      <c r="C159" s="52" t="e">
        <f>'Sheet 3. Total Amounts '!C159/'Formula Calculations (LOCKED)'!$B159</f>
        <v>#DIV/0!</v>
      </c>
      <c r="D159" s="52" t="e">
        <f>'Sheet 3. Total Amounts '!D159/'Formula Calculations (LOCKED)'!$B159</f>
        <v>#DIV/0!</v>
      </c>
      <c r="E159" s="52" t="e">
        <f>'Sheet 3. Total Amounts '!E159/'Formula Calculations (LOCKED)'!$B159</f>
        <v>#DIV/0!</v>
      </c>
      <c r="F159" s="52" t="e">
        <f>'Sheet 3. Total Amounts '!F159/'Formula Calculations (LOCKED)'!$B159</f>
        <v>#DIV/0!</v>
      </c>
      <c r="G159" s="52" t="e">
        <f>'Sheet 3. Total Amounts '!G159/'Formula Calculations (LOCKED)'!$B159</f>
        <v>#DIV/0!</v>
      </c>
      <c r="H159" s="52" t="e">
        <f>'Sheet 3. Total Amounts '!H159/'Formula Calculations (LOCKED)'!$B159</f>
        <v>#DIV/0!</v>
      </c>
      <c r="I159" s="52" t="e">
        <f>'Sheet 3. Total Amounts '!I159/'Formula Calculations (LOCKED)'!$B159</f>
        <v>#DIV/0!</v>
      </c>
      <c r="J159" s="52" t="e">
        <f>'Sheet 3. Total Amounts '!J159/'Formula Calculations (LOCKED)'!$B159</f>
        <v>#DIV/0!</v>
      </c>
      <c r="K159" s="52" t="e">
        <f>'Sheet 3. Total Amounts '!K159/'Formula Calculations (LOCKED)'!$B159</f>
        <v>#DIV/0!</v>
      </c>
      <c r="L159" s="29" t="e">
        <f>'Sheet 3. Total Amounts '!L159/'Formula Calculations (LOCKED)'!B159</f>
        <v>#DIV/0!</v>
      </c>
      <c r="M159" s="29" t="e">
        <f>'Sheet 3. Total Amounts '!M159/'Formula Calculations (LOCKED)'!B159</f>
        <v>#DIV/0!</v>
      </c>
      <c r="N159" s="51" t="e">
        <f>'Sheet 3. Total Amounts '!N159/'Formula Calculations (LOCKED)'!B159</f>
        <v>#DIV/0!</v>
      </c>
    </row>
    <row r="160" spans="1:14" x14ac:dyDescent="0.2">
      <c r="A160" s="7">
        <f>'Sheet 2. County Level Data'!A158</f>
        <v>0</v>
      </c>
      <c r="B160" s="29" t="e">
        <f>'Sheet 3. Total Amounts '!B160/'Formula Calculations (LOCKED)'!B160</f>
        <v>#DIV/0!</v>
      </c>
      <c r="C160" s="52" t="e">
        <f>'Sheet 3. Total Amounts '!C160/'Formula Calculations (LOCKED)'!$B160</f>
        <v>#DIV/0!</v>
      </c>
      <c r="D160" s="52" t="e">
        <f>'Sheet 3. Total Amounts '!D160/'Formula Calculations (LOCKED)'!$B160</f>
        <v>#DIV/0!</v>
      </c>
      <c r="E160" s="52" t="e">
        <f>'Sheet 3. Total Amounts '!E160/'Formula Calculations (LOCKED)'!$B160</f>
        <v>#DIV/0!</v>
      </c>
      <c r="F160" s="52" t="e">
        <f>'Sheet 3. Total Amounts '!F160/'Formula Calculations (LOCKED)'!$B160</f>
        <v>#DIV/0!</v>
      </c>
      <c r="G160" s="52" t="e">
        <f>'Sheet 3. Total Amounts '!G160/'Formula Calculations (LOCKED)'!$B160</f>
        <v>#DIV/0!</v>
      </c>
      <c r="H160" s="52" t="e">
        <f>'Sheet 3. Total Amounts '!H160/'Formula Calculations (LOCKED)'!$B160</f>
        <v>#DIV/0!</v>
      </c>
      <c r="I160" s="52" t="e">
        <f>'Sheet 3. Total Amounts '!I160/'Formula Calculations (LOCKED)'!$B160</f>
        <v>#DIV/0!</v>
      </c>
      <c r="J160" s="52" t="e">
        <f>'Sheet 3. Total Amounts '!J160/'Formula Calculations (LOCKED)'!$B160</f>
        <v>#DIV/0!</v>
      </c>
      <c r="K160" s="52" t="e">
        <f>'Sheet 3. Total Amounts '!K160/'Formula Calculations (LOCKED)'!$B160</f>
        <v>#DIV/0!</v>
      </c>
      <c r="L160" s="29" t="e">
        <f>'Sheet 3. Total Amounts '!L160/'Formula Calculations (LOCKED)'!B160</f>
        <v>#DIV/0!</v>
      </c>
      <c r="M160" s="29" t="e">
        <f>'Sheet 3. Total Amounts '!M160/'Formula Calculations (LOCKED)'!B160</f>
        <v>#DIV/0!</v>
      </c>
      <c r="N160" s="51" t="e">
        <f>'Sheet 3. Total Amounts '!N160/'Formula Calculations (LOCKED)'!B160</f>
        <v>#DIV/0!</v>
      </c>
    </row>
    <row r="161" spans="1:14" x14ac:dyDescent="0.2">
      <c r="A161" s="7">
        <f>'Sheet 2. County Level Data'!A159</f>
        <v>0</v>
      </c>
      <c r="B161" s="29" t="e">
        <f>'Sheet 3. Total Amounts '!B161/'Formula Calculations (LOCKED)'!B161</f>
        <v>#DIV/0!</v>
      </c>
      <c r="C161" s="52" t="e">
        <f>'Sheet 3. Total Amounts '!C161/'Formula Calculations (LOCKED)'!$B161</f>
        <v>#DIV/0!</v>
      </c>
      <c r="D161" s="52" t="e">
        <f>'Sheet 3. Total Amounts '!D161/'Formula Calculations (LOCKED)'!$B161</f>
        <v>#DIV/0!</v>
      </c>
      <c r="E161" s="52" t="e">
        <f>'Sheet 3. Total Amounts '!E161/'Formula Calculations (LOCKED)'!$B161</f>
        <v>#DIV/0!</v>
      </c>
      <c r="F161" s="52" t="e">
        <f>'Sheet 3. Total Amounts '!F161/'Formula Calculations (LOCKED)'!$B161</f>
        <v>#DIV/0!</v>
      </c>
      <c r="G161" s="52" t="e">
        <f>'Sheet 3. Total Amounts '!G161/'Formula Calculations (LOCKED)'!$B161</f>
        <v>#DIV/0!</v>
      </c>
      <c r="H161" s="52" t="e">
        <f>'Sheet 3. Total Amounts '!H161/'Formula Calculations (LOCKED)'!$B161</f>
        <v>#DIV/0!</v>
      </c>
      <c r="I161" s="52" t="e">
        <f>'Sheet 3. Total Amounts '!I161/'Formula Calculations (LOCKED)'!$B161</f>
        <v>#DIV/0!</v>
      </c>
      <c r="J161" s="52" t="e">
        <f>'Sheet 3. Total Amounts '!J161/'Formula Calculations (LOCKED)'!$B161</f>
        <v>#DIV/0!</v>
      </c>
      <c r="K161" s="52" t="e">
        <f>'Sheet 3. Total Amounts '!K161/'Formula Calculations (LOCKED)'!$B161</f>
        <v>#DIV/0!</v>
      </c>
      <c r="L161" s="29" t="e">
        <f>'Sheet 3. Total Amounts '!L161/'Formula Calculations (LOCKED)'!B161</f>
        <v>#DIV/0!</v>
      </c>
      <c r="M161" s="29" t="e">
        <f>'Sheet 3. Total Amounts '!M161/'Formula Calculations (LOCKED)'!B161</f>
        <v>#DIV/0!</v>
      </c>
      <c r="N161" s="51" t="e">
        <f>'Sheet 3. Total Amounts '!N161/'Formula Calculations (LOCKED)'!B161</f>
        <v>#DIV/0!</v>
      </c>
    </row>
    <row r="162" spans="1:14" x14ac:dyDescent="0.2">
      <c r="A162" s="7">
        <f>'Sheet 2. County Level Data'!A160</f>
        <v>0</v>
      </c>
      <c r="B162" s="29" t="e">
        <f>'Sheet 3. Total Amounts '!B162/'Formula Calculations (LOCKED)'!B162</f>
        <v>#DIV/0!</v>
      </c>
      <c r="C162" s="52" t="e">
        <f>'Sheet 3. Total Amounts '!C162/'Formula Calculations (LOCKED)'!$B162</f>
        <v>#DIV/0!</v>
      </c>
      <c r="D162" s="52" t="e">
        <f>'Sheet 3. Total Amounts '!D162/'Formula Calculations (LOCKED)'!$B162</f>
        <v>#DIV/0!</v>
      </c>
      <c r="E162" s="52" t="e">
        <f>'Sheet 3. Total Amounts '!E162/'Formula Calculations (LOCKED)'!$B162</f>
        <v>#DIV/0!</v>
      </c>
      <c r="F162" s="52" t="e">
        <f>'Sheet 3. Total Amounts '!F162/'Formula Calculations (LOCKED)'!$B162</f>
        <v>#DIV/0!</v>
      </c>
      <c r="G162" s="52" t="e">
        <f>'Sheet 3. Total Amounts '!G162/'Formula Calculations (LOCKED)'!$B162</f>
        <v>#DIV/0!</v>
      </c>
      <c r="H162" s="52" t="e">
        <f>'Sheet 3. Total Amounts '!H162/'Formula Calculations (LOCKED)'!$B162</f>
        <v>#DIV/0!</v>
      </c>
      <c r="I162" s="52" t="e">
        <f>'Sheet 3. Total Amounts '!I162/'Formula Calculations (LOCKED)'!$B162</f>
        <v>#DIV/0!</v>
      </c>
      <c r="J162" s="52" t="e">
        <f>'Sheet 3. Total Amounts '!J162/'Formula Calculations (LOCKED)'!$B162</f>
        <v>#DIV/0!</v>
      </c>
      <c r="K162" s="52" t="e">
        <f>'Sheet 3. Total Amounts '!K162/'Formula Calculations (LOCKED)'!$B162</f>
        <v>#DIV/0!</v>
      </c>
      <c r="L162" s="29" t="e">
        <f>'Sheet 3. Total Amounts '!L162/'Formula Calculations (LOCKED)'!B162</f>
        <v>#DIV/0!</v>
      </c>
      <c r="M162" s="29" t="e">
        <f>'Sheet 3. Total Amounts '!M162/'Formula Calculations (LOCKED)'!B162</f>
        <v>#DIV/0!</v>
      </c>
      <c r="N162" s="51" t="e">
        <f>'Sheet 3. Total Amounts '!N162/'Formula Calculations (LOCKED)'!B162</f>
        <v>#DIV/0!</v>
      </c>
    </row>
    <row r="163" spans="1:14" x14ac:dyDescent="0.2">
      <c r="A163" s="7"/>
      <c r="B163" s="29"/>
      <c r="C163" s="29"/>
      <c r="D163" s="29"/>
      <c r="E163" s="29"/>
      <c r="F163" s="29"/>
      <c r="G163" s="49"/>
      <c r="H163" s="49"/>
      <c r="I163" s="49"/>
      <c r="J163" s="49"/>
      <c r="K163" s="49"/>
      <c r="L163" s="29"/>
      <c r="M163" s="29"/>
      <c r="N163" s="51"/>
    </row>
    <row r="164" spans="1:14" x14ac:dyDescent="0.2">
      <c r="A164" s="7"/>
      <c r="B164" s="29"/>
      <c r="C164" s="29"/>
      <c r="D164" s="29"/>
      <c r="E164" s="29"/>
      <c r="F164" s="29"/>
      <c r="G164" s="49"/>
      <c r="H164" s="49"/>
      <c r="I164" s="49"/>
      <c r="J164" s="49"/>
      <c r="K164" s="49"/>
      <c r="L164" s="29"/>
      <c r="M164" s="29"/>
      <c r="N164" s="51"/>
    </row>
    <row r="165" spans="1:14" x14ac:dyDescent="0.2">
      <c r="A165" s="7"/>
      <c r="B165" s="29"/>
      <c r="C165" s="29"/>
      <c r="D165" s="29"/>
      <c r="E165" s="29"/>
      <c r="F165" s="29"/>
      <c r="G165" s="49"/>
      <c r="H165" s="49"/>
      <c r="I165" s="49"/>
      <c r="J165" s="49"/>
      <c r="K165" s="49"/>
      <c r="L165" s="29"/>
      <c r="M165" s="29"/>
      <c r="N165" s="51"/>
    </row>
    <row r="166" spans="1:14" x14ac:dyDescent="0.2">
      <c r="A166" s="7"/>
      <c r="B166" s="29"/>
      <c r="C166" s="29"/>
      <c r="D166" s="29"/>
      <c r="E166" s="29"/>
      <c r="F166" s="29"/>
      <c r="G166" s="49"/>
      <c r="H166" s="49"/>
      <c r="I166" s="49"/>
      <c r="J166" s="49"/>
      <c r="K166" s="49"/>
      <c r="L166" s="29"/>
      <c r="M166" s="29"/>
      <c r="N166" s="51"/>
    </row>
    <row r="167" spans="1:14" x14ac:dyDescent="0.2">
      <c r="A167" s="7"/>
      <c r="B167" s="29"/>
      <c r="C167" s="29"/>
      <c r="D167" s="29"/>
      <c r="E167" s="29"/>
      <c r="F167" s="29"/>
      <c r="G167" s="49"/>
      <c r="H167" s="49"/>
      <c r="I167" s="49"/>
      <c r="J167" s="49"/>
      <c r="K167" s="49"/>
      <c r="L167" s="29"/>
      <c r="M167" s="29"/>
      <c r="N167" s="51"/>
    </row>
    <row r="168" spans="1:14" x14ac:dyDescent="0.2">
      <c r="A168" s="7"/>
      <c r="B168" s="29"/>
      <c r="C168" s="29"/>
      <c r="D168" s="29"/>
      <c r="E168" s="29"/>
      <c r="F168" s="29"/>
      <c r="G168" s="49"/>
      <c r="H168" s="49"/>
      <c r="I168" s="49"/>
      <c r="J168" s="49"/>
      <c r="K168" s="49"/>
      <c r="L168" s="29"/>
      <c r="M168" s="29"/>
      <c r="N168" s="51"/>
    </row>
    <row r="169" spans="1:14" x14ac:dyDescent="0.2">
      <c r="A169" s="7"/>
      <c r="B169" s="29"/>
      <c r="C169" s="29"/>
      <c r="D169" s="29"/>
      <c r="E169" s="29"/>
      <c r="F169" s="29"/>
      <c r="G169" s="49"/>
      <c r="H169" s="49"/>
      <c r="I169" s="49"/>
      <c r="J169" s="49"/>
      <c r="K169" s="49"/>
      <c r="L169" s="29"/>
      <c r="M169" s="29"/>
      <c r="N169" s="51"/>
    </row>
    <row r="170" spans="1:14" x14ac:dyDescent="0.2">
      <c r="A170" s="7"/>
      <c r="B170" s="29"/>
      <c r="C170" s="29"/>
      <c r="D170" s="29"/>
      <c r="E170" s="29"/>
      <c r="F170" s="29"/>
      <c r="G170" s="49"/>
      <c r="H170" s="49"/>
      <c r="I170" s="49"/>
      <c r="J170" s="49"/>
      <c r="K170" s="49"/>
      <c r="L170" s="29"/>
      <c r="M170" s="29"/>
      <c r="N170" s="51"/>
    </row>
    <row r="171" spans="1:14" x14ac:dyDescent="0.2">
      <c r="A171" s="7"/>
      <c r="B171" s="29"/>
      <c r="C171" s="29"/>
      <c r="D171" s="29"/>
      <c r="E171" s="29"/>
      <c r="F171" s="29"/>
      <c r="G171" s="49"/>
      <c r="H171" s="49"/>
      <c r="I171" s="49"/>
      <c r="J171" s="49"/>
      <c r="K171" s="49"/>
      <c r="L171" s="29"/>
      <c r="M171" s="29"/>
      <c r="N171" s="51"/>
    </row>
    <row r="172" spans="1:14" x14ac:dyDescent="0.2">
      <c r="A172" s="7"/>
      <c r="B172" s="29"/>
      <c r="C172" s="29"/>
      <c r="D172" s="29"/>
      <c r="E172" s="29"/>
      <c r="F172" s="29"/>
      <c r="G172" s="49"/>
      <c r="H172" s="49"/>
      <c r="I172" s="49"/>
      <c r="J172" s="49"/>
      <c r="K172" s="49"/>
      <c r="L172" s="29"/>
      <c r="M172" s="29"/>
      <c r="N172" s="51"/>
    </row>
    <row r="173" spans="1:14" x14ac:dyDescent="0.2">
      <c r="A173" s="7"/>
      <c r="B173" s="29"/>
      <c r="C173" s="29"/>
      <c r="D173" s="29"/>
      <c r="E173" s="29"/>
      <c r="F173" s="29"/>
      <c r="G173" s="49"/>
      <c r="H173" s="49"/>
      <c r="I173" s="49"/>
      <c r="J173" s="49"/>
      <c r="K173" s="49"/>
      <c r="L173" s="29"/>
      <c r="M173" s="29"/>
      <c r="N173" s="51"/>
    </row>
    <row r="174" spans="1:14" x14ac:dyDescent="0.2">
      <c r="A174" s="7"/>
      <c r="B174" s="29"/>
      <c r="C174" s="29"/>
      <c r="D174" s="29"/>
      <c r="E174" s="29"/>
      <c r="F174" s="29"/>
      <c r="G174" s="49"/>
      <c r="H174" s="49"/>
      <c r="I174" s="49"/>
      <c r="J174" s="49"/>
      <c r="K174" s="49"/>
      <c r="L174" s="29"/>
      <c r="M174" s="29"/>
      <c r="N174" s="51"/>
    </row>
    <row r="175" spans="1:14" x14ac:dyDescent="0.2">
      <c r="A175" s="7"/>
      <c r="B175" s="29"/>
      <c r="C175" s="29"/>
      <c r="D175" s="29"/>
      <c r="E175" s="29"/>
      <c r="F175" s="29"/>
      <c r="G175" s="49"/>
      <c r="H175" s="49"/>
      <c r="I175" s="49"/>
      <c r="J175" s="49"/>
      <c r="K175" s="49"/>
      <c r="L175" s="29"/>
      <c r="M175" s="29"/>
      <c r="N175" s="51"/>
    </row>
    <row r="176" spans="1:14" x14ac:dyDescent="0.2">
      <c r="A176" s="7"/>
      <c r="B176" s="29"/>
      <c r="C176" s="29"/>
      <c r="D176" s="29"/>
      <c r="E176" s="29"/>
      <c r="F176" s="29"/>
      <c r="G176" s="49"/>
      <c r="H176" s="49"/>
      <c r="I176" s="49"/>
      <c r="J176" s="49"/>
      <c r="K176" s="49"/>
      <c r="L176" s="29"/>
      <c r="M176" s="29"/>
      <c r="N176" s="51"/>
    </row>
    <row r="177" spans="1:14" x14ac:dyDescent="0.2">
      <c r="A177" s="7"/>
      <c r="B177" s="29"/>
      <c r="C177" s="29"/>
      <c r="D177" s="29"/>
      <c r="E177" s="29"/>
      <c r="F177" s="29"/>
      <c r="G177" s="49"/>
      <c r="H177" s="49"/>
      <c r="I177" s="49"/>
      <c r="J177" s="49"/>
      <c r="K177" s="49"/>
      <c r="L177" s="29"/>
      <c r="M177" s="29"/>
      <c r="N177" s="51"/>
    </row>
    <row r="178" spans="1:14" x14ac:dyDescent="0.2">
      <c r="A178" s="7"/>
      <c r="B178" s="29"/>
      <c r="C178" s="29"/>
      <c r="D178" s="29"/>
      <c r="E178" s="29"/>
      <c r="F178" s="29"/>
      <c r="G178" s="49"/>
      <c r="H178" s="49"/>
      <c r="I178" s="49"/>
      <c r="J178" s="49"/>
      <c r="K178" s="49"/>
      <c r="L178" s="29"/>
      <c r="M178" s="29"/>
      <c r="N178" s="51"/>
    </row>
    <row r="179" spans="1:14" x14ac:dyDescent="0.2">
      <c r="A179" s="7"/>
      <c r="B179" s="29"/>
      <c r="C179" s="29"/>
      <c r="D179" s="29"/>
      <c r="E179" s="29"/>
      <c r="F179" s="29"/>
      <c r="G179" s="49"/>
      <c r="H179" s="49"/>
      <c r="I179" s="49"/>
      <c r="J179" s="49"/>
      <c r="K179" s="49"/>
      <c r="L179" s="29"/>
      <c r="M179" s="29"/>
      <c r="N179" s="51"/>
    </row>
    <row r="180" spans="1:14" x14ac:dyDescent="0.2">
      <c r="A180" s="7"/>
      <c r="B180" s="29"/>
      <c r="C180" s="29"/>
      <c r="D180" s="29"/>
      <c r="E180" s="29"/>
      <c r="F180" s="29"/>
      <c r="G180" s="49"/>
      <c r="H180" s="49"/>
      <c r="I180" s="49"/>
      <c r="J180" s="49"/>
      <c r="K180" s="49"/>
      <c r="L180" s="29"/>
      <c r="M180" s="29"/>
      <c r="N180" s="51"/>
    </row>
    <row r="181" spans="1:14" x14ac:dyDescent="0.2">
      <c r="A181" s="7"/>
      <c r="B181" s="29"/>
      <c r="C181" s="29"/>
      <c r="D181" s="29"/>
      <c r="E181" s="29"/>
      <c r="F181" s="29"/>
      <c r="G181" s="49"/>
      <c r="H181" s="49"/>
      <c r="I181" s="49"/>
      <c r="J181" s="49"/>
      <c r="K181" s="49"/>
      <c r="L181" s="29"/>
      <c r="M181" s="29"/>
      <c r="N181" s="51"/>
    </row>
    <row r="182" spans="1:14" x14ac:dyDescent="0.2">
      <c r="A182" s="7"/>
      <c r="B182" s="29"/>
      <c r="C182" s="29"/>
      <c r="D182" s="29"/>
      <c r="E182" s="29"/>
      <c r="F182" s="29"/>
      <c r="G182" s="49"/>
      <c r="H182" s="49"/>
      <c r="I182" s="49"/>
      <c r="J182" s="49"/>
      <c r="K182" s="49"/>
      <c r="L182" s="29"/>
      <c r="M182" s="29"/>
      <c r="N182" s="51"/>
    </row>
    <row r="183" spans="1:14" x14ac:dyDescent="0.2">
      <c r="A183" s="7"/>
      <c r="B183" s="29"/>
      <c r="C183" s="29"/>
      <c r="D183" s="29"/>
      <c r="E183" s="29"/>
      <c r="F183" s="29"/>
      <c r="G183" s="49"/>
      <c r="H183" s="49"/>
      <c r="I183" s="49"/>
      <c r="J183" s="49"/>
      <c r="K183" s="49"/>
      <c r="L183" s="29"/>
      <c r="M183" s="29"/>
      <c r="N183" s="51"/>
    </row>
    <row r="184" spans="1:14" x14ac:dyDescent="0.2">
      <c r="A184" s="7"/>
      <c r="B184" s="29"/>
      <c r="C184" s="29"/>
      <c r="D184" s="29"/>
      <c r="E184" s="29"/>
      <c r="F184" s="29"/>
      <c r="G184" s="49"/>
      <c r="H184" s="49"/>
      <c r="I184" s="49"/>
      <c r="J184" s="49"/>
      <c r="K184" s="49"/>
      <c r="L184" s="29"/>
      <c r="M184" s="29"/>
      <c r="N184" s="51"/>
    </row>
    <row r="185" spans="1:14" x14ac:dyDescent="0.2">
      <c r="A185" s="7"/>
      <c r="B185" s="29"/>
      <c r="C185" s="29"/>
      <c r="D185" s="29"/>
      <c r="E185" s="29"/>
      <c r="F185" s="29"/>
      <c r="G185" s="49"/>
      <c r="H185" s="49"/>
      <c r="I185" s="49"/>
      <c r="J185" s="49"/>
      <c r="K185" s="49"/>
      <c r="L185" s="29"/>
      <c r="M185" s="29"/>
      <c r="N185" s="51"/>
    </row>
    <row r="186" spans="1:14" x14ac:dyDescent="0.2">
      <c r="A186" s="7"/>
      <c r="B186" s="29"/>
      <c r="C186" s="29"/>
      <c r="D186" s="29"/>
      <c r="E186" s="29"/>
      <c r="F186" s="29"/>
      <c r="G186" s="49"/>
      <c r="H186" s="49"/>
      <c r="I186" s="49"/>
      <c r="J186" s="49"/>
      <c r="K186" s="49"/>
      <c r="L186" s="29"/>
      <c r="M186" s="29"/>
      <c r="N186" s="51"/>
    </row>
    <row r="187" spans="1:14" x14ac:dyDescent="0.2">
      <c r="A187" s="7"/>
      <c r="B187" s="29"/>
      <c r="C187" s="29"/>
      <c r="D187" s="29"/>
      <c r="E187" s="29"/>
      <c r="F187" s="29"/>
      <c r="G187" s="49"/>
      <c r="H187" s="49"/>
      <c r="I187" s="49"/>
      <c r="J187" s="49"/>
      <c r="K187" s="49"/>
      <c r="L187" s="29"/>
      <c r="M187" s="29"/>
      <c r="N187" s="51"/>
    </row>
    <row r="188" spans="1:14" x14ac:dyDescent="0.2">
      <c r="A188" s="7"/>
      <c r="B188" s="29"/>
      <c r="C188" s="29"/>
      <c r="D188" s="29"/>
      <c r="E188" s="29"/>
      <c r="F188" s="29"/>
      <c r="G188" s="49"/>
      <c r="H188" s="49"/>
      <c r="I188" s="49"/>
      <c r="J188" s="49"/>
      <c r="K188" s="49"/>
      <c r="L188" s="29"/>
      <c r="M188" s="29"/>
      <c r="N188" s="51"/>
    </row>
    <row r="189" spans="1:14" x14ac:dyDescent="0.2">
      <c r="A189" s="7"/>
      <c r="B189" s="29"/>
      <c r="C189" s="29"/>
      <c r="D189" s="29"/>
      <c r="E189" s="29"/>
      <c r="F189" s="29"/>
      <c r="G189" s="49"/>
      <c r="H189" s="49"/>
      <c r="I189" s="49"/>
      <c r="J189" s="49"/>
      <c r="K189" s="49"/>
      <c r="L189" s="29"/>
      <c r="M189" s="29"/>
      <c r="N189" s="51"/>
    </row>
    <row r="190" spans="1:14" x14ac:dyDescent="0.2">
      <c r="A190" s="7"/>
      <c r="B190" s="29"/>
      <c r="C190" s="29"/>
      <c r="D190" s="29"/>
      <c r="E190" s="29"/>
      <c r="F190" s="29"/>
      <c r="G190" s="49"/>
      <c r="H190" s="49"/>
      <c r="I190" s="49"/>
      <c r="J190" s="49"/>
      <c r="K190" s="49"/>
      <c r="L190" s="29"/>
      <c r="M190" s="29"/>
      <c r="N190" s="51"/>
    </row>
    <row r="191" spans="1:14" x14ac:dyDescent="0.2">
      <c r="A191" s="7"/>
      <c r="B191" s="29"/>
      <c r="C191" s="29"/>
      <c r="D191" s="29"/>
      <c r="E191" s="29"/>
      <c r="F191" s="29"/>
      <c r="G191" s="49"/>
      <c r="H191" s="49"/>
      <c r="I191" s="49"/>
      <c r="J191" s="49"/>
      <c r="K191" s="49"/>
      <c r="L191" s="29"/>
      <c r="M191" s="29"/>
      <c r="N191" s="51"/>
    </row>
    <row r="192" spans="1:14" x14ac:dyDescent="0.2">
      <c r="A192" s="7"/>
      <c r="B192" s="29"/>
      <c r="C192" s="29"/>
      <c r="D192" s="29"/>
      <c r="E192" s="29"/>
      <c r="F192" s="29"/>
      <c r="G192" s="49"/>
      <c r="H192" s="49"/>
      <c r="I192" s="49"/>
      <c r="J192" s="49"/>
      <c r="K192" s="49"/>
      <c r="L192" s="29"/>
      <c r="M192" s="29"/>
      <c r="N192" s="51"/>
    </row>
    <row r="193" spans="1:14" x14ac:dyDescent="0.2">
      <c r="A193" s="7"/>
      <c r="B193" s="29"/>
      <c r="C193" s="29"/>
      <c r="D193" s="29"/>
      <c r="E193" s="29"/>
      <c r="F193" s="29"/>
      <c r="G193" s="49"/>
      <c r="H193" s="49"/>
      <c r="I193" s="49"/>
      <c r="J193" s="49"/>
      <c r="K193" s="49"/>
      <c r="L193" s="29"/>
      <c r="M193" s="29"/>
      <c r="N193" s="51"/>
    </row>
    <row r="194" spans="1:14" x14ac:dyDescent="0.2">
      <c r="A194" s="7"/>
      <c r="B194" s="29"/>
      <c r="C194" s="29"/>
      <c r="D194" s="29"/>
      <c r="E194" s="29"/>
      <c r="F194" s="29"/>
      <c r="G194" s="49"/>
      <c r="H194" s="49"/>
      <c r="I194" s="49"/>
      <c r="J194" s="49"/>
      <c r="K194" s="49"/>
      <c r="L194" s="29"/>
      <c r="M194" s="29"/>
      <c r="N194" s="51"/>
    </row>
    <row r="195" spans="1:14" x14ac:dyDescent="0.2">
      <c r="A195" s="7"/>
      <c r="B195" s="29"/>
      <c r="C195" s="29"/>
      <c r="D195" s="29"/>
      <c r="E195" s="29"/>
      <c r="F195" s="29"/>
      <c r="G195" s="49"/>
      <c r="H195" s="49"/>
      <c r="I195" s="49"/>
      <c r="J195" s="49"/>
      <c r="K195" s="49"/>
      <c r="L195" s="29"/>
      <c r="M195" s="29"/>
      <c r="N195" s="51"/>
    </row>
    <row r="196" spans="1:14" x14ac:dyDescent="0.2">
      <c r="A196" s="7"/>
      <c r="B196" s="29"/>
      <c r="C196" s="29"/>
      <c r="D196" s="29"/>
      <c r="E196" s="29"/>
      <c r="F196" s="29"/>
      <c r="G196" s="49"/>
      <c r="H196" s="49"/>
      <c r="I196" s="49"/>
      <c r="J196" s="49"/>
      <c r="K196" s="49"/>
      <c r="L196" s="29"/>
      <c r="M196" s="29"/>
      <c r="N196" s="51"/>
    </row>
    <row r="197" spans="1:14" x14ac:dyDescent="0.2">
      <c r="A197" s="7"/>
      <c r="B197" s="29"/>
      <c r="C197" s="29"/>
      <c r="D197" s="29"/>
      <c r="E197" s="29"/>
      <c r="F197" s="29"/>
      <c r="G197" s="49"/>
      <c r="H197" s="49"/>
      <c r="I197" s="49"/>
      <c r="J197" s="49"/>
      <c r="K197" s="49"/>
      <c r="L197" s="29"/>
      <c r="M197" s="29"/>
      <c r="N197" s="51"/>
    </row>
    <row r="198" spans="1:14" x14ac:dyDescent="0.2">
      <c r="A198" s="7"/>
      <c r="B198" s="29"/>
      <c r="C198" s="29"/>
      <c r="D198" s="29"/>
      <c r="E198" s="29"/>
      <c r="F198" s="29"/>
      <c r="G198" s="49"/>
      <c r="H198" s="49"/>
      <c r="I198" s="49"/>
      <c r="J198" s="49"/>
      <c r="K198" s="49"/>
      <c r="L198" s="29"/>
      <c r="M198" s="29"/>
      <c r="N198" s="51"/>
    </row>
    <row r="199" spans="1:14" x14ac:dyDescent="0.2">
      <c r="A199" s="7"/>
      <c r="B199" s="29"/>
      <c r="C199" s="29"/>
      <c r="D199" s="29"/>
      <c r="E199" s="29"/>
      <c r="F199" s="29"/>
      <c r="G199" s="49"/>
      <c r="H199" s="49"/>
      <c r="I199" s="49"/>
      <c r="J199" s="49"/>
      <c r="K199" s="49"/>
      <c r="L199" s="29"/>
      <c r="M199" s="29"/>
      <c r="N199" s="51"/>
    </row>
    <row r="200" spans="1:14" x14ac:dyDescent="0.2">
      <c r="A200" s="7"/>
      <c r="B200" s="29"/>
      <c r="C200" s="29"/>
      <c r="D200" s="29"/>
      <c r="E200" s="29"/>
      <c r="F200" s="29"/>
      <c r="G200" s="49"/>
      <c r="H200" s="49"/>
      <c r="I200" s="49"/>
      <c r="J200" s="49"/>
      <c r="K200" s="49"/>
      <c r="L200" s="29"/>
      <c r="M200" s="29"/>
      <c r="N200" s="51"/>
    </row>
    <row r="201" spans="1:14" x14ac:dyDescent="0.2">
      <c r="A201" s="7"/>
      <c r="B201" s="29"/>
      <c r="C201" s="29"/>
      <c r="D201" s="29"/>
      <c r="E201" s="29"/>
      <c r="F201" s="29"/>
      <c r="G201" s="49"/>
      <c r="H201" s="49"/>
      <c r="I201" s="49"/>
      <c r="J201" s="49"/>
      <c r="K201" s="49"/>
      <c r="L201" s="29"/>
      <c r="M201" s="29"/>
      <c r="N201" s="51"/>
    </row>
    <row r="202" spans="1:14" x14ac:dyDescent="0.2">
      <c r="A202" s="7"/>
      <c r="B202" s="29"/>
      <c r="C202" s="29"/>
      <c r="D202" s="29"/>
      <c r="E202" s="29"/>
      <c r="F202" s="29"/>
      <c r="G202" s="49"/>
      <c r="H202" s="49"/>
      <c r="I202" s="49"/>
      <c r="J202" s="49"/>
      <c r="K202" s="49"/>
      <c r="L202" s="29"/>
      <c r="M202" s="29"/>
      <c r="N202" s="51"/>
    </row>
    <row r="203" spans="1:14" x14ac:dyDescent="0.2">
      <c r="A203" s="7"/>
      <c r="B203" s="29"/>
      <c r="C203" s="29"/>
      <c r="D203" s="29"/>
      <c r="E203" s="29"/>
      <c r="F203" s="29"/>
      <c r="G203" s="49"/>
      <c r="H203" s="49"/>
      <c r="I203" s="49"/>
      <c r="J203" s="49"/>
      <c r="K203" s="49"/>
      <c r="L203" s="29"/>
      <c r="M203" s="29"/>
      <c r="N203" s="51"/>
    </row>
    <row r="204" spans="1:14" x14ac:dyDescent="0.2">
      <c r="A204" s="7"/>
      <c r="B204" s="29"/>
      <c r="C204" s="29"/>
      <c r="D204" s="29"/>
      <c r="E204" s="29"/>
      <c r="F204" s="29"/>
      <c r="G204" s="49"/>
      <c r="H204" s="49"/>
      <c r="I204" s="49"/>
      <c r="J204" s="49"/>
      <c r="K204" s="49"/>
      <c r="L204" s="29"/>
      <c r="M204" s="29"/>
      <c r="N204" s="51"/>
    </row>
    <row r="205" spans="1:14" x14ac:dyDescent="0.2">
      <c r="A205" s="7"/>
      <c r="B205" s="29"/>
      <c r="C205" s="29"/>
      <c r="D205" s="29"/>
      <c r="E205" s="29"/>
      <c r="F205" s="29"/>
      <c r="G205" s="49"/>
      <c r="H205" s="49"/>
      <c r="I205" s="49"/>
      <c r="J205" s="49"/>
      <c r="K205" s="49"/>
      <c r="L205" s="29"/>
      <c r="M205" s="29"/>
      <c r="N205" s="51"/>
    </row>
    <row r="206" spans="1:14" x14ac:dyDescent="0.2">
      <c r="A206" s="7"/>
      <c r="B206" s="29"/>
      <c r="C206" s="29"/>
      <c r="D206" s="29"/>
      <c r="E206" s="29"/>
      <c r="F206" s="29"/>
      <c r="G206" s="49"/>
      <c r="H206" s="49"/>
      <c r="I206" s="49"/>
      <c r="J206" s="49"/>
      <c r="K206" s="49"/>
      <c r="L206" s="29"/>
      <c r="M206" s="29"/>
      <c r="N206" s="51"/>
    </row>
    <row r="207" spans="1:14" x14ac:dyDescent="0.2">
      <c r="A207" s="7"/>
      <c r="B207" s="29"/>
      <c r="C207" s="29"/>
      <c r="D207" s="29"/>
      <c r="E207" s="29"/>
      <c r="F207" s="29"/>
      <c r="G207" s="49"/>
      <c r="H207" s="49"/>
      <c r="I207" s="49"/>
      <c r="J207" s="49"/>
      <c r="K207" s="49"/>
      <c r="L207" s="29"/>
      <c r="M207" s="29"/>
      <c r="N207" s="51"/>
    </row>
    <row r="208" spans="1:14" x14ac:dyDescent="0.2">
      <c r="A208" s="7"/>
      <c r="B208" s="29"/>
      <c r="C208" s="29"/>
      <c r="D208" s="29"/>
      <c r="E208" s="29"/>
      <c r="F208" s="29"/>
      <c r="G208" s="49"/>
      <c r="H208" s="49"/>
      <c r="I208" s="49"/>
      <c r="J208" s="49"/>
      <c r="K208" s="49"/>
      <c r="L208" s="29"/>
      <c r="M208" s="29"/>
      <c r="N208" s="51"/>
    </row>
    <row r="209" spans="1:14" x14ac:dyDescent="0.2">
      <c r="A209" s="7"/>
      <c r="B209" s="29"/>
      <c r="C209" s="29"/>
      <c r="D209" s="29"/>
      <c r="E209" s="29"/>
      <c r="F209" s="29"/>
      <c r="G209" s="49"/>
      <c r="H209" s="49"/>
      <c r="I209" s="49"/>
      <c r="J209" s="49"/>
      <c r="K209" s="49"/>
      <c r="L209" s="29"/>
      <c r="M209" s="29"/>
      <c r="N209" s="51"/>
    </row>
    <row r="210" spans="1:14" x14ac:dyDescent="0.2">
      <c r="A210" s="7"/>
      <c r="B210" s="29"/>
      <c r="C210" s="29"/>
      <c r="D210" s="29"/>
      <c r="E210" s="29"/>
      <c r="F210" s="29"/>
      <c r="G210" s="49"/>
      <c r="H210" s="49"/>
      <c r="I210" s="49"/>
      <c r="J210" s="49"/>
      <c r="K210" s="49"/>
      <c r="L210" s="29"/>
      <c r="M210" s="29"/>
      <c r="N210" s="51"/>
    </row>
    <row r="211" spans="1:14" x14ac:dyDescent="0.2">
      <c r="A211" s="7"/>
      <c r="B211" s="29"/>
      <c r="C211" s="29"/>
      <c r="D211" s="29"/>
      <c r="E211" s="29"/>
      <c r="F211" s="29"/>
      <c r="G211" s="49"/>
      <c r="H211" s="49"/>
      <c r="I211" s="49"/>
      <c r="J211" s="49"/>
      <c r="K211" s="49"/>
      <c r="L211" s="29"/>
      <c r="M211" s="29"/>
      <c r="N211" s="51"/>
    </row>
    <row r="212" spans="1:14" x14ac:dyDescent="0.2">
      <c r="A212" s="7"/>
      <c r="B212" s="29"/>
      <c r="C212" s="29"/>
      <c r="D212" s="29"/>
      <c r="E212" s="29"/>
      <c r="F212" s="29"/>
      <c r="G212" s="49"/>
      <c r="H212" s="49"/>
      <c r="I212" s="49"/>
      <c r="J212" s="49"/>
      <c r="K212" s="49"/>
      <c r="L212" s="29"/>
      <c r="M212" s="29"/>
      <c r="N212" s="51"/>
    </row>
    <row r="213" spans="1:14" x14ac:dyDescent="0.2">
      <c r="A213" s="7"/>
      <c r="B213" s="29"/>
      <c r="C213" s="29"/>
      <c r="D213" s="29"/>
      <c r="E213" s="29"/>
      <c r="F213" s="29"/>
      <c r="G213" s="49"/>
      <c r="H213" s="49"/>
      <c r="I213" s="49"/>
      <c r="J213" s="49"/>
      <c r="K213" s="49"/>
      <c r="L213" s="29"/>
      <c r="M213" s="29"/>
      <c r="N213" s="51"/>
    </row>
    <row r="214" spans="1:14" x14ac:dyDescent="0.2">
      <c r="A214" s="7"/>
      <c r="B214" s="29"/>
      <c r="C214" s="29"/>
      <c r="D214" s="29"/>
      <c r="E214" s="29"/>
      <c r="F214" s="29"/>
      <c r="G214" s="49"/>
      <c r="H214" s="49"/>
      <c r="I214" s="49"/>
      <c r="J214" s="49"/>
      <c r="K214" s="49"/>
      <c r="L214" s="29"/>
      <c r="M214" s="29"/>
      <c r="N214" s="51"/>
    </row>
    <row r="215" spans="1:14" x14ac:dyDescent="0.2">
      <c r="A215" s="7"/>
      <c r="B215" s="29"/>
      <c r="C215" s="29"/>
      <c r="D215" s="29"/>
      <c r="E215" s="29"/>
      <c r="F215" s="29"/>
      <c r="G215" s="49"/>
      <c r="H215" s="49"/>
      <c r="I215" s="49"/>
      <c r="J215" s="49"/>
      <c r="K215" s="49"/>
      <c r="L215" s="29"/>
      <c r="M215" s="29"/>
      <c r="N215" s="51"/>
    </row>
    <row r="216" spans="1:14" x14ac:dyDescent="0.2">
      <c r="A216" s="7"/>
      <c r="B216" s="29"/>
      <c r="C216" s="29"/>
      <c r="D216" s="29"/>
      <c r="E216" s="29"/>
      <c r="F216" s="29"/>
      <c r="G216" s="49"/>
      <c r="H216" s="49"/>
      <c r="I216" s="49"/>
      <c r="J216" s="49"/>
      <c r="K216" s="49"/>
      <c r="L216" s="29"/>
      <c r="M216" s="29"/>
      <c r="N216" s="51"/>
    </row>
    <row r="217" spans="1:14" x14ac:dyDescent="0.2">
      <c r="A217" s="7"/>
      <c r="B217" s="29"/>
      <c r="C217" s="29"/>
      <c r="D217" s="29"/>
      <c r="E217" s="29"/>
      <c r="F217" s="29"/>
      <c r="G217" s="49"/>
      <c r="H217" s="49"/>
      <c r="I217" s="49"/>
      <c r="J217" s="49"/>
      <c r="K217" s="49"/>
      <c r="L217" s="29"/>
      <c r="M217" s="29"/>
      <c r="N217" s="51"/>
    </row>
    <row r="218" spans="1:14" x14ac:dyDescent="0.2">
      <c r="A218" s="7"/>
      <c r="B218" s="29"/>
      <c r="C218" s="29"/>
      <c r="D218" s="29"/>
      <c r="E218" s="29"/>
      <c r="F218" s="29"/>
      <c r="G218" s="49"/>
      <c r="H218" s="49"/>
      <c r="I218" s="49"/>
      <c r="J218" s="49"/>
      <c r="K218" s="49"/>
      <c r="L218" s="29"/>
      <c r="M218" s="29"/>
      <c r="N218" s="51"/>
    </row>
    <row r="219" spans="1:14" x14ac:dyDescent="0.2">
      <c r="A219" s="7"/>
      <c r="B219" s="29"/>
      <c r="C219" s="29"/>
      <c r="D219" s="29"/>
      <c r="E219" s="29"/>
      <c r="F219" s="29"/>
      <c r="G219" s="49"/>
      <c r="H219" s="49"/>
      <c r="I219" s="49"/>
      <c r="J219" s="49"/>
      <c r="K219" s="49"/>
      <c r="L219" s="29"/>
      <c r="M219" s="29"/>
      <c r="N219" s="51"/>
    </row>
    <row r="220" spans="1:14" x14ac:dyDescent="0.2">
      <c r="A220" s="7"/>
      <c r="B220" s="29"/>
      <c r="C220" s="29"/>
      <c r="D220" s="29"/>
      <c r="E220" s="29"/>
      <c r="F220" s="29"/>
      <c r="G220" s="49"/>
      <c r="H220" s="49"/>
      <c r="I220" s="49"/>
      <c r="J220" s="49"/>
      <c r="K220" s="49"/>
      <c r="L220" s="29"/>
      <c r="M220" s="29"/>
      <c r="N220" s="51"/>
    </row>
    <row r="221" spans="1:14" x14ac:dyDescent="0.2">
      <c r="A221" s="7"/>
      <c r="B221" s="29"/>
      <c r="C221" s="29"/>
      <c r="D221" s="29"/>
      <c r="E221" s="29"/>
      <c r="F221" s="29"/>
      <c r="G221" s="49"/>
      <c r="H221" s="49"/>
      <c r="I221" s="49"/>
      <c r="J221" s="49"/>
      <c r="K221" s="49"/>
      <c r="L221" s="29"/>
      <c r="M221" s="29"/>
      <c r="N221" s="51"/>
    </row>
    <row r="222" spans="1:14" x14ac:dyDescent="0.2">
      <c r="A222" s="7"/>
      <c r="B222" s="29"/>
      <c r="C222" s="29"/>
      <c r="D222" s="29"/>
      <c r="E222" s="29"/>
      <c r="F222" s="29"/>
      <c r="G222" s="49"/>
      <c r="H222" s="49"/>
      <c r="I222" s="49"/>
      <c r="J222" s="49"/>
      <c r="K222" s="49"/>
      <c r="L222" s="29"/>
      <c r="M222" s="29"/>
      <c r="N222" s="51"/>
    </row>
    <row r="223" spans="1:14" x14ac:dyDescent="0.2">
      <c r="A223" s="7"/>
      <c r="B223" s="29"/>
      <c r="C223" s="29"/>
      <c r="D223" s="29"/>
      <c r="E223" s="29"/>
      <c r="F223" s="29"/>
      <c r="G223" s="49"/>
      <c r="H223" s="49"/>
      <c r="I223" s="49"/>
      <c r="J223" s="49"/>
      <c r="K223" s="49"/>
      <c r="L223" s="29"/>
      <c r="M223" s="29"/>
      <c r="N223" s="51"/>
    </row>
    <row r="224" spans="1:14" x14ac:dyDescent="0.2">
      <c r="A224" s="7"/>
      <c r="B224" s="29"/>
      <c r="C224" s="29"/>
      <c r="D224" s="29"/>
      <c r="E224" s="29"/>
      <c r="F224" s="29"/>
      <c r="G224" s="49"/>
      <c r="H224" s="49"/>
      <c r="I224" s="49"/>
      <c r="J224" s="49"/>
      <c r="K224" s="49"/>
      <c r="L224" s="29"/>
      <c r="M224" s="29"/>
      <c r="N224" s="51"/>
    </row>
    <row r="225" spans="1:14" x14ac:dyDescent="0.2">
      <c r="A225" s="7"/>
      <c r="B225" s="29"/>
      <c r="C225" s="29"/>
      <c r="D225" s="29"/>
      <c r="E225" s="29"/>
      <c r="F225" s="29"/>
      <c r="G225" s="49"/>
      <c r="H225" s="49"/>
      <c r="I225" s="49"/>
      <c r="J225" s="49"/>
      <c r="K225" s="49"/>
      <c r="L225" s="29"/>
      <c r="M225" s="29"/>
      <c r="N225" s="51"/>
    </row>
    <row r="226" spans="1:14" x14ac:dyDescent="0.2">
      <c r="A226" s="7"/>
      <c r="B226" s="29"/>
      <c r="C226" s="29"/>
      <c r="D226" s="29"/>
      <c r="E226" s="29"/>
      <c r="F226" s="29"/>
      <c r="G226" s="49"/>
      <c r="H226" s="49"/>
      <c r="I226" s="49"/>
      <c r="J226" s="49"/>
      <c r="K226" s="49"/>
      <c r="L226" s="29"/>
      <c r="M226" s="29"/>
      <c r="N226" s="51"/>
    </row>
    <row r="227" spans="1:14" x14ac:dyDescent="0.2">
      <c r="A227" s="7"/>
      <c r="B227" s="29"/>
      <c r="C227" s="29"/>
      <c r="D227" s="29"/>
      <c r="E227" s="29"/>
      <c r="F227" s="29"/>
      <c r="G227" s="49"/>
      <c r="H227" s="49"/>
      <c r="I227" s="49"/>
      <c r="J227" s="49"/>
      <c r="K227" s="49"/>
      <c r="L227" s="29"/>
      <c r="M227" s="29"/>
      <c r="N227" s="51"/>
    </row>
    <row r="228" spans="1:14" x14ac:dyDescent="0.2">
      <c r="A228" s="7"/>
      <c r="B228" s="29"/>
      <c r="C228" s="29"/>
      <c r="D228" s="29"/>
      <c r="E228" s="29"/>
      <c r="F228" s="29"/>
      <c r="G228" s="49"/>
      <c r="H228" s="49"/>
      <c r="I228" s="49"/>
      <c r="J228" s="49"/>
      <c r="K228" s="49"/>
      <c r="L228" s="29"/>
      <c r="M228" s="29"/>
      <c r="N228" s="51"/>
    </row>
    <row r="229" spans="1:14" x14ac:dyDescent="0.2">
      <c r="A229" s="7"/>
      <c r="B229" s="29"/>
      <c r="C229" s="29"/>
      <c r="D229" s="29"/>
      <c r="E229" s="29"/>
      <c r="F229" s="29"/>
      <c r="G229" s="49"/>
      <c r="H229" s="49"/>
      <c r="I229" s="49"/>
      <c r="J229" s="49"/>
      <c r="K229" s="49"/>
      <c r="L229" s="29"/>
      <c r="M229" s="29"/>
      <c r="N229" s="51"/>
    </row>
    <row r="230" spans="1:14" x14ac:dyDescent="0.2">
      <c r="A230" s="7"/>
      <c r="B230" s="29"/>
      <c r="C230" s="29"/>
      <c r="D230" s="29"/>
      <c r="E230" s="29"/>
      <c r="F230" s="29"/>
      <c r="G230" s="49"/>
      <c r="H230" s="49"/>
      <c r="I230" s="49"/>
      <c r="J230" s="49"/>
      <c r="K230" s="49"/>
      <c r="L230" s="29"/>
      <c r="M230" s="29"/>
      <c r="N230" s="51"/>
    </row>
    <row r="231" spans="1:14" x14ac:dyDescent="0.2">
      <c r="A231" s="20"/>
    </row>
    <row r="232" spans="1:14" x14ac:dyDescent="0.2">
      <c r="A232" s="20"/>
    </row>
    <row r="233" spans="1:14" x14ac:dyDescent="0.2">
      <c r="A233" s="20"/>
    </row>
    <row r="234" spans="1:14" x14ac:dyDescent="0.2">
      <c r="A234" s="20"/>
    </row>
    <row r="235" spans="1:14" x14ac:dyDescent="0.2">
      <c r="A235" s="20"/>
    </row>
    <row r="236" spans="1:14" x14ac:dyDescent="0.2">
      <c r="A236" s="20"/>
    </row>
    <row r="237" spans="1:14" x14ac:dyDescent="0.2">
      <c r="A237" s="20"/>
    </row>
    <row r="238" spans="1:14" x14ac:dyDescent="0.2">
      <c r="A238" s="20"/>
    </row>
    <row r="239" spans="1:14" x14ac:dyDescent="0.2">
      <c r="A239" s="20"/>
    </row>
    <row r="240" spans="1:14" x14ac:dyDescent="0.2">
      <c r="A240" s="20"/>
    </row>
    <row r="241" spans="1:1" x14ac:dyDescent="0.2">
      <c r="A241" s="20"/>
    </row>
    <row r="242" spans="1:1" x14ac:dyDescent="0.2">
      <c r="A242" s="20"/>
    </row>
    <row r="243" spans="1:1" x14ac:dyDescent="0.2">
      <c r="A243" s="20"/>
    </row>
    <row r="244" spans="1:1" x14ac:dyDescent="0.2">
      <c r="A244" s="20"/>
    </row>
    <row r="245" spans="1:1" x14ac:dyDescent="0.2">
      <c r="A245" s="20"/>
    </row>
  </sheetData>
  <mergeCells count="3">
    <mergeCell ref="B1:F1"/>
    <mergeCell ref="G1:K1"/>
    <mergeCell ref="L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B27C5-3649-482A-94D1-25CC67F8814E}">
  <dimension ref="A1:S300"/>
  <sheetViews>
    <sheetView zoomScale="85" zoomScaleNormal="85" workbookViewId="0">
      <selection activeCell="C23" sqref="C23"/>
    </sheetView>
  </sheetViews>
  <sheetFormatPr baseColWidth="10" defaultColWidth="9.1640625" defaultRowHeight="15" x14ac:dyDescent="0.2"/>
  <cols>
    <col min="1" max="1" width="17" style="6" customWidth="1"/>
    <col min="2" max="2" width="13.1640625" style="6" customWidth="1"/>
    <col min="3" max="3" width="15.1640625" style="6" customWidth="1"/>
    <col min="4" max="4" width="15.6640625" style="6" customWidth="1"/>
    <col min="5" max="5" width="11.5" style="6" hidden="1" customWidth="1"/>
    <col min="6" max="7" width="9.1640625" style="6"/>
    <col min="8" max="8" width="20.1640625" style="6" customWidth="1"/>
    <col min="9" max="9" width="20.5" style="6" customWidth="1"/>
    <col min="10" max="10" width="17.5" style="6" customWidth="1"/>
    <col min="11" max="11" width="17.33203125" style="6" customWidth="1"/>
    <col min="12" max="12" width="9.1640625" style="6"/>
    <col min="13" max="13" width="13.33203125" style="6" customWidth="1"/>
    <col min="14" max="14" width="11.5" style="6" customWidth="1"/>
    <col min="15" max="15" width="14.5" style="6" customWidth="1"/>
    <col min="16" max="17" width="15.5" style="6" customWidth="1"/>
    <col min="18" max="19" width="16.83203125" style="6" customWidth="1"/>
    <col min="20" max="16384" width="9.1640625" style="6"/>
  </cols>
  <sheetData>
    <row r="1" spans="1:19" ht="68.25" customHeight="1" x14ac:dyDescent="0.2">
      <c r="A1" s="36" t="s">
        <v>8</v>
      </c>
      <c r="B1" s="37" t="s">
        <v>0</v>
      </c>
      <c r="C1" s="37" t="s">
        <v>20</v>
      </c>
      <c r="D1" s="37" t="s">
        <v>1</v>
      </c>
      <c r="E1" s="37" t="s">
        <v>21</v>
      </c>
      <c r="F1" s="37" t="s">
        <v>2</v>
      </c>
      <c r="G1" s="37" t="s">
        <v>22</v>
      </c>
      <c r="H1" s="37" t="s">
        <v>23</v>
      </c>
      <c r="I1" s="37" t="s">
        <v>24</v>
      </c>
      <c r="J1" s="37" t="s">
        <v>25</v>
      </c>
      <c r="K1" s="37" t="s">
        <v>26</v>
      </c>
      <c r="L1" s="38" t="s">
        <v>3</v>
      </c>
      <c r="M1" s="37" t="s">
        <v>44</v>
      </c>
      <c r="N1" s="37" t="s">
        <v>45</v>
      </c>
      <c r="O1" s="37" t="s">
        <v>27</v>
      </c>
      <c r="P1" s="37" t="s">
        <v>28</v>
      </c>
      <c r="Q1" s="37" t="s">
        <v>29</v>
      </c>
      <c r="R1" s="37" t="s">
        <v>30</v>
      </c>
      <c r="S1" s="37" t="s">
        <v>21</v>
      </c>
    </row>
    <row r="2" spans="1:19" ht="16" x14ac:dyDescent="0.2">
      <c r="A2" s="19" t="s">
        <v>34</v>
      </c>
      <c r="B2" s="8">
        <f>SUM(B4:B192)</f>
        <v>0</v>
      </c>
      <c r="C2" s="9" t="e">
        <f>SUM(C$4:C$300)</f>
        <v>#DIV/0!</v>
      </c>
      <c r="D2" s="8">
        <f>SUM(D4:D300)</f>
        <v>0</v>
      </c>
      <c r="E2" s="32" t="e">
        <f>D2/B2</f>
        <v>#DIV/0!</v>
      </c>
      <c r="F2" s="8" t="s">
        <v>49</v>
      </c>
      <c r="G2" s="8" t="s">
        <v>49</v>
      </c>
      <c r="H2" s="8">
        <f>SUM(H4:H300)</f>
        <v>0</v>
      </c>
      <c r="I2" s="10" t="e">
        <f>H2/B2</f>
        <v>#DIV/0!</v>
      </c>
      <c r="J2" s="11">
        <f t="shared" ref="J2:O2" si="0">SUM(J4:J300)</f>
        <v>0</v>
      </c>
      <c r="K2" s="11">
        <f t="shared" si="0"/>
        <v>0</v>
      </c>
      <c r="L2" s="8">
        <f t="shared" si="0"/>
        <v>0</v>
      </c>
      <c r="M2" s="8">
        <f t="shared" si="0"/>
        <v>0</v>
      </c>
      <c r="N2" s="8">
        <f t="shared" si="0"/>
        <v>0</v>
      </c>
      <c r="O2" s="8">
        <f t="shared" si="0"/>
        <v>0</v>
      </c>
      <c r="P2" s="10" t="e">
        <f>$O$2/$B$2</f>
        <v>#DIV/0!</v>
      </c>
      <c r="Q2" s="7">
        <f>SUM(Q4:Q300)</f>
        <v>0</v>
      </c>
      <c r="R2" s="7">
        <f>SUM(R4:R300)</f>
        <v>0</v>
      </c>
      <c r="S2" s="7" t="e">
        <f>D2/B2</f>
        <v>#DIV/0!</v>
      </c>
    </row>
    <row r="3" spans="1:19" x14ac:dyDescent="0.2">
      <c r="A3" s="3"/>
      <c r="B3" s="15"/>
      <c r="C3" s="16"/>
      <c r="D3" s="15"/>
      <c r="E3" s="17"/>
      <c r="F3" s="15"/>
      <c r="G3" s="15"/>
      <c r="H3" s="15"/>
      <c r="I3" s="17"/>
      <c r="J3" s="17"/>
      <c r="K3" s="17"/>
      <c r="L3" s="15"/>
      <c r="M3" s="15"/>
      <c r="N3" s="15"/>
      <c r="O3" s="15"/>
      <c r="P3" s="17"/>
      <c r="Q3" s="18"/>
      <c r="R3" s="18"/>
      <c r="S3" s="18"/>
    </row>
    <row r="4" spans="1:19" x14ac:dyDescent="0.2">
      <c r="A4" s="7">
        <f>'Sheet 2. County Level Data'!$A2</f>
        <v>0</v>
      </c>
      <c r="B4" s="7">
        <f>'Sheet 2. County Level Data'!C2</f>
        <v>0</v>
      </c>
      <c r="C4" s="48" t="e">
        <f>$B4/$B$2</f>
        <v>#DIV/0!</v>
      </c>
      <c r="D4" s="12">
        <f>'Sheet 2. County Level Data'!$D2</f>
        <v>0</v>
      </c>
      <c r="E4" s="13" t="e">
        <f>D4/B4</f>
        <v>#DIV/0!</v>
      </c>
      <c r="F4" s="12">
        <f>'Sheet 2. County Level Data'!$E2</f>
        <v>0</v>
      </c>
      <c r="G4" s="12">
        <f t="shared" ref="G4:G35" si="1">IF(F4&gt;=4,1,0)</f>
        <v>0</v>
      </c>
      <c r="H4" s="12">
        <f>'Sheet 2. County Level Data'!$F2</f>
        <v>0</v>
      </c>
      <c r="I4" s="13" t="e">
        <f t="shared" ref="I4:I35" si="2">$H4/$B4</f>
        <v>#DIV/0!</v>
      </c>
      <c r="J4" s="14">
        <f t="shared" ref="J4:J35" si="3">IF(G4=0,H4,0)</f>
        <v>0</v>
      </c>
      <c r="K4" s="14">
        <f t="shared" ref="K4:K35" si="4">IF(G4=1,H4,0)</f>
        <v>0</v>
      </c>
      <c r="L4" s="12">
        <f>'Sheet 2. County Level Data'!$G2</f>
        <v>0</v>
      </c>
      <c r="M4" s="12">
        <f t="shared" ref="M4:M35" si="5">IF(G4=0,L4,0)</f>
        <v>0</v>
      </c>
      <c r="N4" s="12">
        <f t="shared" ref="N4:N35" si="6">IF(G4=1,L4,0)</f>
        <v>0</v>
      </c>
      <c r="O4" s="12">
        <f>'Sheet 2. County Level Data'!$H2</f>
        <v>0</v>
      </c>
      <c r="P4" s="13" t="e">
        <f t="shared" ref="P4:P35" si="7">$O4/$B4</f>
        <v>#DIV/0!</v>
      </c>
      <c r="Q4" s="7">
        <f>IF(G4=0,O4,0)</f>
        <v>0</v>
      </c>
      <c r="R4" s="7">
        <f>IF(G4=1,O4,0)</f>
        <v>0</v>
      </c>
      <c r="S4" s="7" t="e">
        <f>D4/B4</f>
        <v>#DIV/0!</v>
      </c>
    </row>
    <row r="5" spans="1:19" x14ac:dyDescent="0.2">
      <c r="A5" s="7">
        <f>'Sheet 2. County Level Data'!$A3</f>
        <v>0</v>
      </c>
      <c r="B5" s="7">
        <f>'Sheet 2. County Level Data'!C3</f>
        <v>0</v>
      </c>
      <c r="C5" s="9" t="e">
        <f t="shared" ref="C5:C68" si="8">$B5/$B$2</f>
        <v>#DIV/0!</v>
      </c>
      <c r="D5" s="12">
        <f>'Sheet 2. County Level Data'!$D3</f>
        <v>0</v>
      </c>
      <c r="E5" s="13" t="e">
        <f t="shared" ref="E5:E68" si="9">D5/B5</f>
        <v>#DIV/0!</v>
      </c>
      <c r="F5" s="12">
        <f>'Sheet 2. County Level Data'!$E3</f>
        <v>0</v>
      </c>
      <c r="G5" s="12">
        <f t="shared" si="1"/>
        <v>0</v>
      </c>
      <c r="H5" s="12">
        <f>'Sheet 2. County Level Data'!$F3</f>
        <v>0</v>
      </c>
      <c r="I5" s="13" t="e">
        <f t="shared" si="2"/>
        <v>#DIV/0!</v>
      </c>
      <c r="J5" s="14">
        <f t="shared" si="3"/>
        <v>0</v>
      </c>
      <c r="K5" s="14">
        <f t="shared" si="4"/>
        <v>0</v>
      </c>
      <c r="L5" s="12">
        <f>'Sheet 2. County Level Data'!$G3</f>
        <v>0</v>
      </c>
      <c r="M5" s="12">
        <f t="shared" si="5"/>
        <v>0</v>
      </c>
      <c r="N5" s="12">
        <f t="shared" si="6"/>
        <v>0</v>
      </c>
      <c r="O5" s="12">
        <f>'Sheet 2. County Level Data'!$H3</f>
        <v>0</v>
      </c>
      <c r="P5" s="13" t="e">
        <f t="shared" si="7"/>
        <v>#DIV/0!</v>
      </c>
      <c r="Q5" s="7">
        <f t="shared" ref="Q5:Q68" si="10">IF(G5=0,O5,0)</f>
        <v>0</v>
      </c>
      <c r="R5" s="7">
        <f t="shared" ref="R5:R68" si="11">IF(G5=1,O5,0)</f>
        <v>0</v>
      </c>
      <c r="S5" s="7" t="e">
        <f t="shared" ref="S5:S68" si="12">D5/B5</f>
        <v>#DIV/0!</v>
      </c>
    </row>
    <row r="6" spans="1:19" x14ac:dyDescent="0.2">
      <c r="A6" s="7">
        <f>'Sheet 2. County Level Data'!$A4</f>
        <v>0</v>
      </c>
      <c r="B6" s="7">
        <f>'Sheet 2. County Level Data'!C4</f>
        <v>0</v>
      </c>
      <c r="C6" s="9" t="e">
        <f t="shared" si="8"/>
        <v>#DIV/0!</v>
      </c>
      <c r="D6" s="12">
        <f>'Sheet 2. County Level Data'!$D4</f>
        <v>0</v>
      </c>
      <c r="E6" s="13" t="e">
        <f t="shared" si="9"/>
        <v>#DIV/0!</v>
      </c>
      <c r="F6" s="12">
        <f>'Sheet 2. County Level Data'!$E4</f>
        <v>0</v>
      </c>
      <c r="G6" s="12">
        <f t="shared" si="1"/>
        <v>0</v>
      </c>
      <c r="H6" s="12">
        <f>'Sheet 2. County Level Data'!$F4</f>
        <v>0</v>
      </c>
      <c r="I6" s="13" t="e">
        <f t="shared" si="2"/>
        <v>#DIV/0!</v>
      </c>
      <c r="J6" s="14">
        <f t="shared" si="3"/>
        <v>0</v>
      </c>
      <c r="K6" s="14">
        <f t="shared" si="4"/>
        <v>0</v>
      </c>
      <c r="L6" s="12">
        <f>'Sheet 2. County Level Data'!$G4</f>
        <v>0</v>
      </c>
      <c r="M6" s="12">
        <f t="shared" si="5"/>
        <v>0</v>
      </c>
      <c r="N6" s="12">
        <f t="shared" si="6"/>
        <v>0</v>
      </c>
      <c r="O6" s="12">
        <f>'Sheet 2. County Level Data'!$H4</f>
        <v>0</v>
      </c>
      <c r="P6" s="13" t="e">
        <f t="shared" si="7"/>
        <v>#DIV/0!</v>
      </c>
      <c r="Q6" s="7">
        <f t="shared" si="10"/>
        <v>0</v>
      </c>
      <c r="R6" s="7">
        <f t="shared" si="11"/>
        <v>0</v>
      </c>
      <c r="S6" s="7" t="e">
        <f t="shared" si="12"/>
        <v>#DIV/0!</v>
      </c>
    </row>
    <row r="7" spans="1:19" x14ac:dyDescent="0.2">
      <c r="A7" s="7">
        <f>'Sheet 2. County Level Data'!$A5</f>
        <v>0</v>
      </c>
      <c r="B7" s="7">
        <f>'Sheet 2. County Level Data'!C5</f>
        <v>0</v>
      </c>
      <c r="C7" s="9" t="e">
        <f t="shared" si="8"/>
        <v>#DIV/0!</v>
      </c>
      <c r="D7" s="12">
        <f>'Sheet 2. County Level Data'!$D5</f>
        <v>0</v>
      </c>
      <c r="E7" s="13" t="e">
        <f t="shared" si="9"/>
        <v>#DIV/0!</v>
      </c>
      <c r="F7" s="12">
        <f>'Sheet 2. County Level Data'!$E5</f>
        <v>0</v>
      </c>
      <c r="G7" s="12">
        <f t="shared" si="1"/>
        <v>0</v>
      </c>
      <c r="H7" s="12">
        <f>'Sheet 2. County Level Data'!$F5</f>
        <v>0</v>
      </c>
      <c r="I7" s="13" t="e">
        <f t="shared" si="2"/>
        <v>#DIV/0!</v>
      </c>
      <c r="J7" s="14">
        <f t="shared" si="3"/>
        <v>0</v>
      </c>
      <c r="K7" s="14">
        <f t="shared" si="4"/>
        <v>0</v>
      </c>
      <c r="L7" s="12">
        <f>'Sheet 2. County Level Data'!$G5</f>
        <v>0</v>
      </c>
      <c r="M7" s="12">
        <f t="shared" si="5"/>
        <v>0</v>
      </c>
      <c r="N7" s="12">
        <f t="shared" si="6"/>
        <v>0</v>
      </c>
      <c r="O7" s="12">
        <f>'Sheet 2. County Level Data'!$H5</f>
        <v>0</v>
      </c>
      <c r="P7" s="13" t="e">
        <f t="shared" si="7"/>
        <v>#DIV/0!</v>
      </c>
      <c r="Q7" s="7">
        <f t="shared" si="10"/>
        <v>0</v>
      </c>
      <c r="R7" s="7">
        <f t="shared" si="11"/>
        <v>0</v>
      </c>
      <c r="S7" s="7" t="e">
        <f t="shared" si="12"/>
        <v>#DIV/0!</v>
      </c>
    </row>
    <row r="8" spans="1:19" x14ac:dyDescent="0.2">
      <c r="A8" s="7">
        <f>'Sheet 2. County Level Data'!$A6</f>
        <v>0</v>
      </c>
      <c r="B8" s="7">
        <f>'Sheet 2. County Level Data'!C6</f>
        <v>0</v>
      </c>
      <c r="C8" s="9" t="e">
        <f t="shared" si="8"/>
        <v>#DIV/0!</v>
      </c>
      <c r="D8" s="12">
        <f>'Sheet 2. County Level Data'!$D6</f>
        <v>0</v>
      </c>
      <c r="E8" s="13" t="e">
        <f t="shared" si="9"/>
        <v>#DIV/0!</v>
      </c>
      <c r="F8" s="12">
        <f>'Sheet 2. County Level Data'!$E6</f>
        <v>0</v>
      </c>
      <c r="G8" s="12">
        <f t="shared" si="1"/>
        <v>0</v>
      </c>
      <c r="H8" s="12">
        <f>'Sheet 2. County Level Data'!$F6</f>
        <v>0</v>
      </c>
      <c r="I8" s="13" t="e">
        <f t="shared" si="2"/>
        <v>#DIV/0!</v>
      </c>
      <c r="J8" s="14">
        <f t="shared" si="3"/>
        <v>0</v>
      </c>
      <c r="K8" s="14">
        <f t="shared" si="4"/>
        <v>0</v>
      </c>
      <c r="L8" s="12">
        <f>'Sheet 2. County Level Data'!$G6</f>
        <v>0</v>
      </c>
      <c r="M8" s="12">
        <f t="shared" si="5"/>
        <v>0</v>
      </c>
      <c r="N8" s="12">
        <f t="shared" si="6"/>
        <v>0</v>
      </c>
      <c r="O8" s="12">
        <f>'Sheet 2. County Level Data'!$H6</f>
        <v>0</v>
      </c>
      <c r="P8" s="13" t="e">
        <f t="shared" si="7"/>
        <v>#DIV/0!</v>
      </c>
      <c r="Q8" s="7">
        <f t="shared" si="10"/>
        <v>0</v>
      </c>
      <c r="R8" s="7">
        <f t="shared" si="11"/>
        <v>0</v>
      </c>
      <c r="S8" s="7" t="e">
        <f t="shared" si="12"/>
        <v>#DIV/0!</v>
      </c>
    </row>
    <row r="9" spans="1:19" x14ac:dyDescent="0.2">
      <c r="A9" s="7">
        <f>'Sheet 2. County Level Data'!$A7</f>
        <v>0</v>
      </c>
      <c r="B9" s="7">
        <f>'Sheet 2. County Level Data'!C7</f>
        <v>0</v>
      </c>
      <c r="C9" s="9" t="e">
        <f t="shared" si="8"/>
        <v>#DIV/0!</v>
      </c>
      <c r="D9" s="12">
        <f>'Sheet 2. County Level Data'!$D7</f>
        <v>0</v>
      </c>
      <c r="E9" s="13" t="e">
        <f t="shared" si="9"/>
        <v>#DIV/0!</v>
      </c>
      <c r="F9" s="12">
        <f>'Sheet 2. County Level Data'!$E7</f>
        <v>0</v>
      </c>
      <c r="G9" s="12">
        <f t="shared" si="1"/>
        <v>0</v>
      </c>
      <c r="H9" s="12">
        <f>'Sheet 2. County Level Data'!$F7</f>
        <v>0</v>
      </c>
      <c r="I9" s="13" t="e">
        <f t="shared" si="2"/>
        <v>#DIV/0!</v>
      </c>
      <c r="J9" s="14">
        <f t="shared" si="3"/>
        <v>0</v>
      </c>
      <c r="K9" s="14">
        <f t="shared" si="4"/>
        <v>0</v>
      </c>
      <c r="L9" s="12">
        <f>'Sheet 2. County Level Data'!$G7</f>
        <v>0</v>
      </c>
      <c r="M9" s="12">
        <f t="shared" si="5"/>
        <v>0</v>
      </c>
      <c r="N9" s="12">
        <f t="shared" si="6"/>
        <v>0</v>
      </c>
      <c r="O9" s="12">
        <f>'Sheet 2. County Level Data'!$H7</f>
        <v>0</v>
      </c>
      <c r="P9" s="13" t="e">
        <f t="shared" si="7"/>
        <v>#DIV/0!</v>
      </c>
      <c r="Q9" s="7">
        <f t="shared" si="10"/>
        <v>0</v>
      </c>
      <c r="R9" s="7">
        <f t="shared" si="11"/>
        <v>0</v>
      </c>
      <c r="S9" s="7" t="e">
        <f t="shared" si="12"/>
        <v>#DIV/0!</v>
      </c>
    </row>
    <row r="10" spans="1:19" x14ac:dyDescent="0.2">
      <c r="A10" s="7">
        <f>'Sheet 2. County Level Data'!$A8</f>
        <v>0</v>
      </c>
      <c r="B10" s="7">
        <f>'Sheet 2. County Level Data'!C8</f>
        <v>0</v>
      </c>
      <c r="C10" s="9" t="e">
        <f t="shared" si="8"/>
        <v>#DIV/0!</v>
      </c>
      <c r="D10" s="12">
        <f>'Sheet 2. County Level Data'!$D8</f>
        <v>0</v>
      </c>
      <c r="E10" s="13" t="e">
        <f t="shared" si="9"/>
        <v>#DIV/0!</v>
      </c>
      <c r="F10" s="12">
        <f>'Sheet 2. County Level Data'!$E8</f>
        <v>0</v>
      </c>
      <c r="G10" s="12">
        <f t="shared" si="1"/>
        <v>0</v>
      </c>
      <c r="H10" s="12">
        <f>'Sheet 2. County Level Data'!$F8</f>
        <v>0</v>
      </c>
      <c r="I10" s="13" t="e">
        <f t="shared" si="2"/>
        <v>#DIV/0!</v>
      </c>
      <c r="J10" s="14">
        <f t="shared" si="3"/>
        <v>0</v>
      </c>
      <c r="K10" s="14">
        <f t="shared" si="4"/>
        <v>0</v>
      </c>
      <c r="L10" s="12">
        <f>'Sheet 2. County Level Data'!$G8</f>
        <v>0</v>
      </c>
      <c r="M10" s="12">
        <f t="shared" si="5"/>
        <v>0</v>
      </c>
      <c r="N10" s="12">
        <f t="shared" si="6"/>
        <v>0</v>
      </c>
      <c r="O10" s="12">
        <f>'Sheet 2. County Level Data'!$H8</f>
        <v>0</v>
      </c>
      <c r="P10" s="13" t="e">
        <f t="shared" si="7"/>
        <v>#DIV/0!</v>
      </c>
      <c r="Q10" s="7">
        <f t="shared" si="10"/>
        <v>0</v>
      </c>
      <c r="R10" s="7">
        <f t="shared" si="11"/>
        <v>0</v>
      </c>
      <c r="S10" s="7" t="e">
        <f t="shared" si="12"/>
        <v>#DIV/0!</v>
      </c>
    </row>
    <row r="11" spans="1:19" x14ac:dyDescent="0.2">
      <c r="A11" s="7">
        <f>'Sheet 2. County Level Data'!$A9</f>
        <v>0</v>
      </c>
      <c r="B11" s="7">
        <f>'Sheet 2. County Level Data'!C9</f>
        <v>0</v>
      </c>
      <c r="C11" s="9" t="e">
        <f t="shared" si="8"/>
        <v>#DIV/0!</v>
      </c>
      <c r="D11" s="12">
        <f>'Sheet 2. County Level Data'!$D9</f>
        <v>0</v>
      </c>
      <c r="E11" s="13" t="e">
        <f t="shared" si="9"/>
        <v>#DIV/0!</v>
      </c>
      <c r="F11" s="12">
        <f>'Sheet 2. County Level Data'!$E9</f>
        <v>0</v>
      </c>
      <c r="G11" s="12">
        <f t="shared" si="1"/>
        <v>0</v>
      </c>
      <c r="H11" s="12">
        <f>'Sheet 2. County Level Data'!$F9</f>
        <v>0</v>
      </c>
      <c r="I11" s="13" t="e">
        <f t="shared" si="2"/>
        <v>#DIV/0!</v>
      </c>
      <c r="J11" s="14">
        <f t="shared" si="3"/>
        <v>0</v>
      </c>
      <c r="K11" s="14">
        <f t="shared" si="4"/>
        <v>0</v>
      </c>
      <c r="L11" s="12">
        <f>'Sheet 2. County Level Data'!$G9</f>
        <v>0</v>
      </c>
      <c r="M11" s="12">
        <f t="shared" si="5"/>
        <v>0</v>
      </c>
      <c r="N11" s="12">
        <f t="shared" si="6"/>
        <v>0</v>
      </c>
      <c r="O11" s="12">
        <f>'Sheet 2. County Level Data'!$H9</f>
        <v>0</v>
      </c>
      <c r="P11" s="13" t="e">
        <f t="shared" si="7"/>
        <v>#DIV/0!</v>
      </c>
      <c r="Q11" s="7">
        <f t="shared" si="10"/>
        <v>0</v>
      </c>
      <c r="R11" s="7">
        <f t="shared" si="11"/>
        <v>0</v>
      </c>
      <c r="S11" s="7" t="e">
        <f t="shared" si="12"/>
        <v>#DIV/0!</v>
      </c>
    </row>
    <row r="12" spans="1:19" x14ac:dyDescent="0.2">
      <c r="A12" s="7">
        <f>'Sheet 2. County Level Data'!$A10</f>
        <v>0</v>
      </c>
      <c r="B12" s="7">
        <f>'Sheet 2. County Level Data'!C10</f>
        <v>0</v>
      </c>
      <c r="C12" s="9" t="e">
        <f t="shared" si="8"/>
        <v>#DIV/0!</v>
      </c>
      <c r="D12" s="12">
        <f>'Sheet 2. County Level Data'!$D10</f>
        <v>0</v>
      </c>
      <c r="E12" s="13" t="e">
        <f t="shared" si="9"/>
        <v>#DIV/0!</v>
      </c>
      <c r="F12" s="12">
        <f>'Sheet 2. County Level Data'!$E10</f>
        <v>0</v>
      </c>
      <c r="G12" s="12">
        <f t="shared" si="1"/>
        <v>0</v>
      </c>
      <c r="H12" s="12">
        <f>'Sheet 2. County Level Data'!$F10</f>
        <v>0</v>
      </c>
      <c r="I12" s="13" t="e">
        <f t="shared" si="2"/>
        <v>#DIV/0!</v>
      </c>
      <c r="J12" s="14">
        <f t="shared" si="3"/>
        <v>0</v>
      </c>
      <c r="K12" s="14">
        <f t="shared" si="4"/>
        <v>0</v>
      </c>
      <c r="L12" s="12">
        <f>'Sheet 2. County Level Data'!$G10</f>
        <v>0</v>
      </c>
      <c r="M12" s="12">
        <f t="shared" si="5"/>
        <v>0</v>
      </c>
      <c r="N12" s="12">
        <f t="shared" si="6"/>
        <v>0</v>
      </c>
      <c r="O12" s="12">
        <f>'Sheet 2. County Level Data'!$H10</f>
        <v>0</v>
      </c>
      <c r="P12" s="13" t="e">
        <f t="shared" si="7"/>
        <v>#DIV/0!</v>
      </c>
      <c r="Q12" s="7">
        <f t="shared" si="10"/>
        <v>0</v>
      </c>
      <c r="R12" s="7">
        <f t="shared" si="11"/>
        <v>0</v>
      </c>
      <c r="S12" s="7" t="e">
        <f t="shared" si="12"/>
        <v>#DIV/0!</v>
      </c>
    </row>
    <row r="13" spans="1:19" x14ac:dyDescent="0.2">
      <c r="A13" s="7">
        <f>'Sheet 2. County Level Data'!$A11</f>
        <v>0</v>
      </c>
      <c r="B13" s="7">
        <f>'Sheet 2. County Level Data'!C11</f>
        <v>0</v>
      </c>
      <c r="C13" s="9" t="e">
        <f t="shared" si="8"/>
        <v>#DIV/0!</v>
      </c>
      <c r="D13" s="12">
        <f>'Sheet 2. County Level Data'!$D11</f>
        <v>0</v>
      </c>
      <c r="E13" s="13" t="e">
        <f t="shared" si="9"/>
        <v>#DIV/0!</v>
      </c>
      <c r="F13" s="12">
        <f>'Sheet 2. County Level Data'!$E11</f>
        <v>0</v>
      </c>
      <c r="G13" s="12">
        <f t="shared" si="1"/>
        <v>0</v>
      </c>
      <c r="H13" s="12">
        <f>'Sheet 2. County Level Data'!$F11</f>
        <v>0</v>
      </c>
      <c r="I13" s="13" t="e">
        <f t="shared" si="2"/>
        <v>#DIV/0!</v>
      </c>
      <c r="J13" s="14">
        <f t="shared" si="3"/>
        <v>0</v>
      </c>
      <c r="K13" s="14">
        <f>IF(G13=1,H13,0)</f>
        <v>0</v>
      </c>
      <c r="L13" s="12">
        <f>'Sheet 2. County Level Data'!$G11</f>
        <v>0</v>
      </c>
      <c r="M13" s="12">
        <f t="shared" si="5"/>
        <v>0</v>
      </c>
      <c r="N13" s="12">
        <f t="shared" si="6"/>
        <v>0</v>
      </c>
      <c r="O13" s="12">
        <f>'Sheet 2. County Level Data'!$H11</f>
        <v>0</v>
      </c>
      <c r="P13" s="13" t="e">
        <f t="shared" si="7"/>
        <v>#DIV/0!</v>
      </c>
      <c r="Q13" s="7">
        <f t="shared" si="10"/>
        <v>0</v>
      </c>
      <c r="R13" s="7">
        <f t="shared" si="11"/>
        <v>0</v>
      </c>
      <c r="S13" s="7" t="e">
        <f t="shared" si="12"/>
        <v>#DIV/0!</v>
      </c>
    </row>
    <row r="14" spans="1:19" x14ac:dyDescent="0.2">
      <c r="A14" s="7">
        <f>'Sheet 2. County Level Data'!$A12</f>
        <v>0</v>
      </c>
      <c r="B14" s="7">
        <f>'Sheet 2. County Level Data'!C12</f>
        <v>0</v>
      </c>
      <c r="C14" s="9" t="e">
        <f t="shared" si="8"/>
        <v>#DIV/0!</v>
      </c>
      <c r="D14" s="12">
        <f>'Sheet 2. County Level Data'!$D12</f>
        <v>0</v>
      </c>
      <c r="E14" s="13" t="e">
        <f t="shared" si="9"/>
        <v>#DIV/0!</v>
      </c>
      <c r="F14" s="12">
        <f>'Sheet 2. County Level Data'!$E12</f>
        <v>0</v>
      </c>
      <c r="G14" s="12">
        <f t="shared" si="1"/>
        <v>0</v>
      </c>
      <c r="H14" s="12">
        <f>'Sheet 2. County Level Data'!$F12</f>
        <v>0</v>
      </c>
      <c r="I14" s="13" t="e">
        <f t="shared" si="2"/>
        <v>#DIV/0!</v>
      </c>
      <c r="J14" s="14">
        <f t="shared" si="3"/>
        <v>0</v>
      </c>
      <c r="K14" s="14">
        <f t="shared" si="4"/>
        <v>0</v>
      </c>
      <c r="L14" s="12">
        <f>'Sheet 2. County Level Data'!$G12</f>
        <v>0</v>
      </c>
      <c r="M14" s="12">
        <f t="shared" si="5"/>
        <v>0</v>
      </c>
      <c r="N14" s="12">
        <f t="shared" si="6"/>
        <v>0</v>
      </c>
      <c r="O14" s="12">
        <f>'Sheet 2. County Level Data'!$H12</f>
        <v>0</v>
      </c>
      <c r="P14" s="13" t="e">
        <f t="shared" si="7"/>
        <v>#DIV/0!</v>
      </c>
      <c r="Q14" s="7">
        <f t="shared" si="10"/>
        <v>0</v>
      </c>
      <c r="R14" s="7">
        <f t="shared" si="11"/>
        <v>0</v>
      </c>
      <c r="S14" s="7" t="e">
        <f t="shared" si="12"/>
        <v>#DIV/0!</v>
      </c>
    </row>
    <row r="15" spans="1:19" x14ac:dyDescent="0.2">
      <c r="A15" s="7">
        <f>'Sheet 2. County Level Data'!$A13</f>
        <v>0</v>
      </c>
      <c r="B15" s="7">
        <f>'Sheet 2. County Level Data'!C13</f>
        <v>0</v>
      </c>
      <c r="C15" s="9" t="e">
        <f t="shared" si="8"/>
        <v>#DIV/0!</v>
      </c>
      <c r="D15" s="12">
        <f>'Sheet 2. County Level Data'!$D13</f>
        <v>0</v>
      </c>
      <c r="E15" s="13" t="e">
        <f t="shared" si="9"/>
        <v>#DIV/0!</v>
      </c>
      <c r="F15" s="12">
        <f>'Sheet 2. County Level Data'!$E13</f>
        <v>0</v>
      </c>
      <c r="G15" s="12">
        <f t="shared" si="1"/>
        <v>0</v>
      </c>
      <c r="H15" s="12">
        <f>'Sheet 2. County Level Data'!$F13</f>
        <v>0</v>
      </c>
      <c r="I15" s="13" t="e">
        <f t="shared" si="2"/>
        <v>#DIV/0!</v>
      </c>
      <c r="J15" s="14">
        <f t="shared" si="3"/>
        <v>0</v>
      </c>
      <c r="K15" s="14">
        <f t="shared" si="4"/>
        <v>0</v>
      </c>
      <c r="L15" s="12">
        <f>'Sheet 2. County Level Data'!$G13</f>
        <v>0</v>
      </c>
      <c r="M15" s="12">
        <f t="shared" si="5"/>
        <v>0</v>
      </c>
      <c r="N15" s="12">
        <f t="shared" si="6"/>
        <v>0</v>
      </c>
      <c r="O15" s="12">
        <f>'Sheet 2. County Level Data'!$H13</f>
        <v>0</v>
      </c>
      <c r="P15" s="13" t="e">
        <f t="shared" si="7"/>
        <v>#DIV/0!</v>
      </c>
      <c r="Q15" s="7">
        <f t="shared" si="10"/>
        <v>0</v>
      </c>
      <c r="R15" s="7">
        <f t="shared" si="11"/>
        <v>0</v>
      </c>
      <c r="S15" s="7" t="e">
        <f t="shared" si="12"/>
        <v>#DIV/0!</v>
      </c>
    </row>
    <row r="16" spans="1:19" x14ac:dyDescent="0.2">
      <c r="A16" s="7">
        <f>'Sheet 2. County Level Data'!$A14</f>
        <v>0</v>
      </c>
      <c r="B16" s="7">
        <f>'Sheet 2. County Level Data'!C14</f>
        <v>0</v>
      </c>
      <c r="C16" s="9" t="e">
        <f t="shared" si="8"/>
        <v>#DIV/0!</v>
      </c>
      <c r="D16" s="12">
        <f>'Sheet 2. County Level Data'!$D14</f>
        <v>0</v>
      </c>
      <c r="E16" s="13" t="e">
        <f t="shared" si="9"/>
        <v>#DIV/0!</v>
      </c>
      <c r="F16" s="12">
        <f>'Sheet 2. County Level Data'!$E14</f>
        <v>0</v>
      </c>
      <c r="G16" s="12">
        <f t="shared" si="1"/>
        <v>0</v>
      </c>
      <c r="H16" s="12">
        <f>'Sheet 2. County Level Data'!$F14</f>
        <v>0</v>
      </c>
      <c r="I16" s="13" t="e">
        <f t="shared" si="2"/>
        <v>#DIV/0!</v>
      </c>
      <c r="J16" s="14">
        <f t="shared" si="3"/>
        <v>0</v>
      </c>
      <c r="K16" s="14">
        <f t="shared" si="4"/>
        <v>0</v>
      </c>
      <c r="L16" s="12">
        <f>'Sheet 2. County Level Data'!$G14</f>
        <v>0</v>
      </c>
      <c r="M16" s="12">
        <f t="shared" si="5"/>
        <v>0</v>
      </c>
      <c r="N16" s="12">
        <f t="shared" si="6"/>
        <v>0</v>
      </c>
      <c r="O16" s="12">
        <f>'Sheet 2. County Level Data'!$H14</f>
        <v>0</v>
      </c>
      <c r="P16" s="13" t="e">
        <f t="shared" si="7"/>
        <v>#DIV/0!</v>
      </c>
      <c r="Q16" s="7">
        <f t="shared" si="10"/>
        <v>0</v>
      </c>
      <c r="R16" s="7">
        <f t="shared" si="11"/>
        <v>0</v>
      </c>
      <c r="S16" s="7" t="e">
        <f t="shared" si="12"/>
        <v>#DIV/0!</v>
      </c>
    </row>
    <row r="17" spans="1:19" x14ac:dyDescent="0.2">
      <c r="A17" s="7">
        <f>'Sheet 2. County Level Data'!$A15</f>
        <v>0</v>
      </c>
      <c r="B17" s="7">
        <f>'Sheet 2. County Level Data'!C15</f>
        <v>0</v>
      </c>
      <c r="C17" s="9" t="e">
        <f t="shared" si="8"/>
        <v>#DIV/0!</v>
      </c>
      <c r="D17" s="12">
        <f>'Sheet 2. County Level Data'!$D15</f>
        <v>0</v>
      </c>
      <c r="E17" s="13" t="e">
        <f t="shared" si="9"/>
        <v>#DIV/0!</v>
      </c>
      <c r="F17" s="12">
        <f>'Sheet 2. County Level Data'!$E15</f>
        <v>0</v>
      </c>
      <c r="G17" s="12">
        <f t="shared" si="1"/>
        <v>0</v>
      </c>
      <c r="H17" s="12">
        <f>'Sheet 2. County Level Data'!$F15</f>
        <v>0</v>
      </c>
      <c r="I17" s="13" t="e">
        <f t="shared" si="2"/>
        <v>#DIV/0!</v>
      </c>
      <c r="J17" s="14">
        <f t="shared" si="3"/>
        <v>0</v>
      </c>
      <c r="K17" s="14">
        <f t="shared" si="4"/>
        <v>0</v>
      </c>
      <c r="L17" s="12">
        <f>'Sheet 2. County Level Data'!$G15</f>
        <v>0</v>
      </c>
      <c r="M17" s="12">
        <f t="shared" si="5"/>
        <v>0</v>
      </c>
      <c r="N17" s="12">
        <f t="shared" si="6"/>
        <v>0</v>
      </c>
      <c r="O17" s="12">
        <f>'Sheet 2. County Level Data'!$H15</f>
        <v>0</v>
      </c>
      <c r="P17" s="13" t="e">
        <f t="shared" si="7"/>
        <v>#DIV/0!</v>
      </c>
      <c r="Q17" s="7">
        <f t="shared" si="10"/>
        <v>0</v>
      </c>
      <c r="R17" s="7">
        <f t="shared" si="11"/>
        <v>0</v>
      </c>
      <c r="S17" s="7" t="e">
        <f t="shared" si="12"/>
        <v>#DIV/0!</v>
      </c>
    </row>
    <row r="18" spans="1:19" x14ac:dyDescent="0.2">
      <c r="A18" s="7">
        <f>'Sheet 2. County Level Data'!$A16</f>
        <v>0</v>
      </c>
      <c r="B18" s="7">
        <f>'Sheet 2. County Level Data'!C16</f>
        <v>0</v>
      </c>
      <c r="C18" s="9" t="e">
        <f t="shared" si="8"/>
        <v>#DIV/0!</v>
      </c>
      <c r="D18" s="12">
        <f>'Sheet 2. County Level Data'!$D16</f>
        <v>0</v>
      </c>
      <c r="E18" s="13" t="e">
        <f t="shared" si="9"/>
        <v>#DIV/0!</v>
      </c>
      <c r="F18" s="12">
        <f>'Sheet 2. County Level Data'!$E16</f>
        <v>0</v>
      </c>
      <c r="G18" s="12">
        <f t="shared" si="1"/>
        <v>0</v>
      </c>
      <c r="H18" s="12">
        <f>'Sheet 2. County Level Data'!$F16</f>
        <v>0</v>
      </c>
      <c r="I18" s="13" t="e">
        <f t="shared" si="2"/>
        <v>#DIV/0!</v>
      </c>
      <c r="J18" s="14">
        <f t="shared" si="3"/>
        <v>0</v>
      </c>
      <c r="K18" s="14">
        <f t="shared" si="4"/>
        <v>0</v>
      </c>
      <c r="L18" s="12">
        <f>'Sheet 2. County Level Data'!$G16</f>
        <v>0</v>
      </c>
      <c r="M18" s="12">
        <f t="shared" si="5"/>
        <v>0</v>
      </c>
      <c r="N18" s="12">
        <f t="shared" si="6"/>
        <v>0</v>
      </c>
      <c r="O18" s="12">
        <f>'Sheet 2. County Level Data'!$H16</f>
        <v>0</v>
      </c>
      <c r="P18" s="13" t="e">
        <f t="shared" si="7"/>
        <v>#DIV/0!</v>
      </c>
      <c r="Q18" s="7">
        <f t="shared" si="10"/>
        <v>0</v>
      </c>
      <c r="R18" s="7">
        <f t="shared" si="11"/>
        <v>0</v>
      </c>
      <c r="S18" s="7" t="e">
        <f t="shared" si="12"/>
        <v>#DIV/0!</v>
      </c>
    </row>
    <row r="19" spans="1:19" x14ac:dyDescent="0.2">
      <c r="A19" s="7">
        <f>'Sheet 2. County Level Data'!$A17</f>
        <v>0</v>
      </c>
      <c r="B19" s="7">
        <f>'Sheet 2. County Level Data'!C17</f>
        <v>0</v>
      </c>
      <c r="C19" s="9" t="e">
        <f t="shared" si="8"/>
        <v>#DIV/0!</v>
      </c>
      <c r="D19" s="12">
        <f>'Sheet 2. County Level Data'!$D17</f>
        <v>0</v>
      </c>
      <c r="E19" s="13" t="e">
        <f t="shared" si="9"/>
        <v>#DIV/0!</v>
      </c>
      <c r="F19" s="12">
        <f>'Sheet 2. County Level Data'!$E17</f>
        <v>0</v>
      </c>
      <c r="G19" s="12">
        <f t="shared" si="1"/>
        <v>0</v>
      </c>
      <c r="H19" s="12">
        <f>'Sheet 2. County Level Data'!$F17</f>
        <v>0</v>
      </c>
      <c r="I19" s="13" t="e">
        <f t="shared" si="2"/>
        <v>#DIV/0!</v>
      </c>
      <c r="J19" s="14">
        <f t="shared" si="3"/>
        <v>0</v>
      </c>
      <c r="K19" s="14">
        <f t="shared" si="4"/>
        <v>0</v>
      </c>
      <c r="L19" s="12">
        <f>'Sheet 2. County Level Data'!$G17</f>
        <v>0</v>
      </c>
      <c r="M19" s="12">
        <f t="shared" si="5"/>
        <v>0</v>
      </c>
      <c r="N19" s="12">
        <f t="shared" si="6"/>
        <v>0</v>
      </c>
      <c r="O19" s="12">
        <f>'Sheet 2. County Level Data'!$H17</f>
        <v>0</v>
      </c>
      <c r="P19" s="13" t="e">
        <f t="shared" si="7"/>
        <v>#DIV/0!</v>
      </c>
      <c r="Q19" s="7">
        <f t="shared" si="10"/>
        <v>0</v>
      </c>
      <c r="R19" s="7">
        <f t="shared" si="11"/>
        <v>0</v>
      </c>
      <c r="S19" s="7" t="e">
        <f t="shared" si="12"/>
        <v>#DIV/0!</v>
      </c>
    </row>
    <row r="20" spans="1:19" x14ac:dyDescent="0.2">
      <c r="A20" s="7">
        <f>'Sheet 2. County Level Data'!$A18</f>
        <v>0</v>
      </c>
      <c r="B20" s="7">
        <f>'Sheet 2. County Level Data'!C18</f>
        <v>0</v>
      </c>
      <c r="C20" s="9" t="e">
        <f t="shared" si="8"/>
        <v>#DIV/0!</v>
      </c>
      <c r="D20" s="12">
        <f>'Sheet 2. County Level Data'!$D18</f>
        <v>0</v>
      </c>
      <c r="E20" s="13" t="e">
        <f t="shared" si="9"/>
        <v>#DIV/0!</v>
      </c>
      <c r="F20" s="12">
        <f>'Sheet 2. County Level Data'!$E18</f>
        <v>0</v>
      </c>
      <c r="G20" s="12">
        <f t="shared" si="1"/>
        <v>0</v>
      </c>
      <c r="H20" s="12">
        <f>'Sheet 2. County Level Data'!$F18</f>
        <v>0</v>
      </c>
      <c r="I20" s="13" t="e">
        <f t="shared" si="2"/>
        <v>#DIV/0!</v>
      </c>
      <c r="J20" s="14">
        <f t="shared" si="3"/>
        <v>0</v>
      </c>
      <c r="K20" s="14">
        <f t="shared" si="4"/>
        <v>0</v>
      </c>
      <c r="L20" s="12">
        <f>'Sheet 2. County Level Data'!$G18</f>
        <v>0</v>
      </c>
      <c r="M20" s="12">
        <f t="shared" si="5"/>
        <v>0</v>
      </c>
      <c r="N20" s="12">
        <f t="shared" si="6"/>
        <v>0</v>
      </c>
      <c r="O20" s="12">
        <f>'Sheet 2. County Level Data'!$H18</f>
        <v>0</v>
      </c>
      <c r="P20" s="13" t="e">
        <f t="shared" si="7"/>
        <v>#DIV/0!</v>
      </c>
      <c r="Q20" s="7">
        <f t="shared" si="10"/>
        <v>0</v>
      </c>
      <c r="R20" s="7">
        <f t="shared" si="11"/>
        <v>0</v>
      </c>
      <c r="S20" s="7" t="e">
        <f t="shared" si="12"/>
        <v>#DIV/0!</v>
      </c>
    </row>
    <row r="21" spans="1:19" x14ac:dyDescent="0.2">
      <c r="A21" s="7">
        <f>'Sheet 2. County Level Data'!$A19</f>
        <v>0</v>
      </c>
      <c r="B21" s="7">
        <f>'Sheet 2. County Level Data'!C19</f>
        <v>0</v>
      </c>
      <c r="C21" s="9" t="e">
        <f t="shared" si="8"/>
        <v>#DIV/0!</v>
      </c>
      <c r="D21" s="12">
        <f>'Sheet 2. County Level Data'!$D19</f>
        <v>0</v>
      </c>
      <c r="E21" s="13" t="e">
        <f t="shared" si="9"/>
        <v>#DIV/0!</v>
      </c>
      <c r="F21" s="12">
        <f>'Sheet 2. County Level Data'!$E19</f>
        <v>0</v>
      </c>
      <c r="G21" s="12">
        <f t="shared" si="1"/>
        <v>0</v>
      </c>
      <c r="H21" s="12">
        <f>'Sheet 2. County Level Data'!$F19</f>
        <v>0</v>
      </c>
      <c r="I21" s="13" t="e">
        <f t="shared" si="2"/>
        <v>#DIV/0!</v>
      </c>
      <c r="J21" s="14">
        <f t="shared" si="3"/>
        <v>0</v>
      </c>
      <c r="K21" s="14">
        <f t="shared" si="4"/>
        <v>0</v>
      </c>
      <c r="L21" s="12">
        <f>'Sheet 2. County Level Data'!$G19</f>
        <v>0</v>
      </c>
      <c r="M21" s="12">
        <f t="shared" si="5"/>
        <v>0</v>
      </c>
      <c r="N21" s="12">
        <f t="shared" si="6"/>
        <v>0</v>
      </c>
      <c r="O21" s="12">
        <f>'Sheet 2. County Level Data'!$H19</f>
        <v>0</v>
      </c>
      <c r="P21" s="13" t="e">
        <f t="shared" si="7"/>
        <v>#DIV/0!</v>
      </c>
      <c r="Q21" s="7">
        <f t="shared" si="10"/>
        <v>0</v>
      </c>
      <c r="R21" s="7">
        <f t="shared" si="11"/>
        <v>0</v>
      </c>
      <c r="S21" s="7" t="e">
        <f t="shared" si="12"/>
        <v>#DIV/0!</v>
      </c>
    </row>
    <row r="22" spans="1:19" x14ac:dyDescent="0.2">
      <c r="A22" s="7">
        <f>'Sheet 2. County Level Data'!$A20</f>
        <v>0</v>
      </c>
      <c r="B22" s="7">
        <f>'Sheet 2. County Level Data'!C20</f>
        <v>0</v>
      </c>
      <c r="C22" s="9" t="e">
        <f t="shared" si="8"/>
        <v>#DIV/0!</v>
      </c>
      <c r="D22" s="12">
        <f>'Sheet 2. County Level Data'!$D20</f>
        <v>0</v>
      </c>
      <c r="E22" s="13" t="e">
        <f t="shared" si="9"/>
        <v>#DIV/0!</v>
      </c>
      <c r="F22" s="12">
        <f>'Sheet 2. County Level Data'!$E20</f>
        <v>0</v>
      </c>
      <c r="G22" s="12">
        <f t="shared" si="1"/>
        <v>0</v>
      </c>
      <c r="H22" s="12">
        <f>'Sheet 2. County Level Data'!$F20</f>
        <v>0</v>
      </c>
      <c r="I22" s="13" t="e">
        <f t="shared" si="2"/>
        <v>#DIV/0!</v>
      </c>
      <c r="J22" s="14">
        <f t="shared" si="3"/>
        <v>0</v>
      </c>
      <c r="K22" s="14">
        <f t="shared" si="4"/>
        <v>0</v>
      </c>
      <c r="L22" s="12">
        <f>'Sheet 2. County Level Data'!$G20</f>
        <v>0</v>
      </c>
      <c r="M22" s="12">
        <f t="shared" si="5"/>
        <v>0</v>
      </c>
      <c r="N22" s="12">
        <f t="shared" si="6"/>
        <v>0</v>
      </c>
      <c r="O22" s="12">
        <f>'Sheet 2. County Level Data'!$H20</f>
        <v>0</v>
      </c>
      <c r="P22" s="13" t="e">
        <f t="shared" si="7"/>
        <v>#DIV/0!</v>
      </c>
      <c r="Q22" s="7">
        <f t="shared" si="10"/>
        <v>0</v>
      </c>
      <c r="R22" s="7">
        <f t="shared" si="11"/>
        <v>0</v>
      </c>
      <c r="S22" s="7" t="e">
        <f t="shared" si="12"/>
        <v>#DIV/0!</v>
      </c>
    </row>
    <row r="23" spans="1:19" x14ac:dyDescent="0.2">
      <c r="A23" s="7">
        <f>'Sheet 2. County Level Data'!$A21</f>
        <v>0</v>
      </c>
      <c r="B23" s="7">
        <f>'Sheet 2. County Level Data'!C21</f>
        <v>0</v>
      </c>
      <c r="C23" s="9" t="e">
        <f t="shared" si="8"/>
        <v>#DIV/0!</v>
      </c>
      <c r="D23" s="12">
        <f>'Sheet 2. County Level Data'!$D21</f>
        <v>0</v>
      </c>
      <c r="E23" s="13" t="e">
        <f t="shared" si="9"/>
        <v>#DIV/0!</v>
      </c>
      <c r="F23" s="12">
        <f>'Sheet 2. County Level Data'!$E21</f>
        <v>0</v>
      </c>
      <c r="G23" s="12">
        <f t="shared" si="1"/>
        <v>0</v>
      </c>
      <c r="H23" s="12">
        <f>'Sheet 2. County Level Data'!$F21</f>
        <v>0</v>
      </c>
      <c r="I23" s="13" t="e">
        <f t="shared" si="2"/>
        <v>#DIV/0!</v>
      </c>
      <c r="J23" s="14">
        <f t="shared" si="3"/>
        <v>0</v>
      </c>
      <c r="K23" s="14">
        <f t="shared" si="4"/>
        <v>0</v>
      </c>
      <c r="L23" s="12">
        <f>'Sheet 2. County Level Data'!$G21</f>
        <v>0</v>
      </c>
      <c r="M23" s="12">
        <f t="shared" si="5"/>
        <v>0</v>
      </c>
      <c r="N23" s="12">
        <f t="shared" si="6"/>
        <v>0</v>
      </c>
      <c r="O23" s="12">
        <f>'Sheet 2. County Level Data'!$H21</f>
        <v>0</v>
      </c>
      <c r="P23" s="13" t="e">
        <f t="shared" si="7"/>
        <v>#DIV/0!</v>
      </c>
      <c r="Q23" s="7">
        <f t="shared" si="10"/>
        <v>0</v>
      </c>
      <c r="R23" s="7">
        <f t="shared" si="11"/>
        <v>0</v>
      </c>
      <c r="S23" s="7" t="e">
        <f t="shared" si="12"/>
        <v>#DIV/0!</v>
      </c>
    </row>
    <row r="24" spans="1:19" x14ac:dyDescent="0.2">
      <c r="A24" s="7">
        <f>'Sheet 2. County Level Data'!$A22</f>
        <v>0</v>
      </c>
      <c r="B24" s="7">
        <f>'Sheet 2. County Level Data'!C22</f>
        <v>0</v>
      </c>
      <c r="C24" s="9" t="e">
        <f t="shared" si="8"/>
        <v>#DIV/0!</v>
      </c>
      <c r="D24" s="12">
        <f>'Sheet 2. County Level Data'!$D22</f>
        <v>0</v>
      </c>
      <c r="E24" s="13" t="e">
        <f t="shared" si="9"/>
        <v>#DIV/0!</v>
      </c>
      <c r="F24" s="12">
        <f>'Sheet 2. County Level Data'!$E22</f>
        <v>0</v>
      </c>
      <c r="G24" s="12">
        <f t="shared" si="1"/>
        <v>0</v>
      </c>
      <c r="H24" s="12">
        <f>'Sheet 2. County Level Data'!$F22</f>
        <v>0</v>
      </c>
      <c r="I24" s="13" t="e">
        <f t="shared" si="2"/>
        <v>#DIV/0!</v>
      </c>
      <c r="J24" s="14">
        <f t="shared" si="3"/>
        <v>0</v>
      </c>
      <c r="K24" s="14">
        <f t="shared" si="4"/>
        <v>0</v>
      </c>
      <c r="L24" s="12">
        <f>'Sheet 2. County Level Data'!$G22</f>
        <v>0</v>
      </c>
      <c r="M24" s="12">
        <f t="shared" si="5"/>
        <v>0</v>
      </c>
      <c r="N24" s="12">
        <f t="shared" si="6"/>
        <v>0</v>
      </c>
      <c r="O24" s="12">
        <f>'Sheet 2. County Level Data'!$H22</f>
        <v>0</v>
      </c>
      <c r="P24" s="13" t="e">
        <f t="shared" si="7"/>
        <v>#DIV/0!</v>
      </c>
      <c r="Q24" s="7">
        <f t="shared" si="10"/>
        <v>0</v>
      </c>
      <c r="R24" s="7">
        <f t="shared" si="11"/>
        <v>0</v>
      </c>
      <c r="S24" s="7" t="e">
        <f t="shared" si="12"/>
        <v>#DIV/0!</v>
      </c>
    </row>
    <row r="25" spans="1:19" x14ac:dyDescent="0.2">
      <c r="A25" s="7">
        <f>'Sheet 2. County Level Data'!$A23</f>
        <v>0</v>
      </c>
      <c r="B25" s="7">
        <f>'Sheet 2. County Level Data'!C23</f>
        <v>0</v>
      </c>
      <c r="C25" s="9" t="e">
        <f t="shared" si="8"/>
        <v>#DIV/0!</v>
      </c>
      <c r="D25" s="12">
        <f>'Sheet 2. County Level Data'!$D23</f>
        <v>0</v>
      </c>
      <c r="E25" s="13" t="e">
        <f t="shared" si="9"/>
        <v>#DIV/0!</v>
      </c>
      <c r="F25" s="12">
        <f>'Sheet 2. County Level Data'!$E23</f>
        <v>0</v>
      </c>
      <c r="G25" s="12">
        <f t="shared" si="1"/>
        <v>0</v>
      </c>
      <c r="H25" s="12">
        <f>'Sheet 2. County Level Data'!$F23</f>
        <v>0</v>
      </c>
      <c r="I25" s="13" t="e">
        <f t="shared" si="2"/>
        <v>#DIV/0!</v>
      </c>
      <c r="J25" s="14">
        <f t="shared" si="3"/>
        <v>0</v>
      </c>
      <c r="K25" s="14">
        <f t="shared" si="4"/>
        <v>0</v>
      </c>
      <c r="L25" s="12">
        <f>'Sheet 2. County Level Data'!$G23</f>
        <v>0</v>
      </c>
      <c r="M25" s="12">
        <f t="shared" si="5"/>
        <v>0</v>
      </c>
      <c r="N25" s="12">
        <f t="shared" si="6"/>
        <v>0</v>
      </c>
      <c r="O25" s="12">
        <f>'Sheet 2. County Level Data'!$H23</f>
        <v>0</v>
      </c>
      <c r="P25" s="13" t="e">
        <f t="shared" si="7"/>
        <v>#DIV/0!</v>
      </c>
      <c r="Q25" s="7">
        <f t="shared" si="10"/>
        <v>0</v>
      </c>
      <c r="R25" s="7">
        <f t="shared" si="11"/>
        <v>0</v>
      </c>
      <c r="S25" s="7" t="e">
        <f t="shared" si="12"/>
        <v>#DIV/0!</v>
      </c>
    </row>
    <row r="26" spans="1:19" x14ac:dyDescent="0.2">
      <c r="A26" s="7">
        <f>'Sheet 2. County Level Data'!$A24</f>
        <v>0</v>
      </c>
      <c r="B26" s="7">
        <f>'Sheet 2. County Level Data'!C24</f>
        <v>0</v>
      </c>
      <c r="C26" s="9" t="e">
        <f t="shared" si="8"/>
        <v>#DIV/0!</v>
      </c>
      <c r="D26" s="12">
        <f>'Sheet 2. County Level Data'!$D24</f>
        <v>0</v>
      </c>
      <c r="E26" s="13" t="e">
        <f t="shared" si="9"/>
        <v>#DIV/0!</v>
      </c>
      <c r="F26" s="12">
        <f>'Sheet 2. County Level Data'!$E24</f>
        <v>0</v>
      </c>
      <c r="G26" s="12">
        <f t="shared" si="1"/>
        <v>0</v>
      </c>
      <c r="H26" s="12">
        <f>'Sheet 2. County Level Data'!$F24</f>
        <v>0</v>
      </c>
      <c r="I26" s="13" t="e">
        <f t="shared" si="2"/>
        <v>#DIV/0!</v>
      </c>
      <c r="J26" s="14">
        <f t="shared" si="3"/>
        <v>0</v>
      </c>
      <c r="K26" s="14">
        <f t="shared" si="4"/>
        <v>0</v>
      </c>
      <c r="L26" s="12">
        <f>'Sheet 2. County Level Data'!$G24</f>
        <v>0</v>
      </c>
      <c r="M26" s="12">
        <f t="shared" si="5"/>
        <v>0</v>
      </c>
      <c r="N26" s="12">
        <f t="shared" si="6"/>
        <v>0</v>
      </c>
      <c r="O26" s="12">
        <f>'Sheet 2. County Level Data'!$H24</f>
        <v>0</v>
      </c>
      <c r="P26" s="13" t="e">
        <f t="shared" si="7"/>
        <v>#DIV/0!</v>
      </c>
      <c r="Q26" s="7">
        <f t="shared" si="10"/>
        <v>0</v>
      </c>
      <c r="R26" s="7">
        <f t="shared" si="11"/>
        <v>0</v>
      </c>
      <c r="S26" s="7" t="e">
        <f t="shared" si="12"/>
        <v>#DIV/0!</v>
      </c>
    </row>
    <row r="27" spans="1:19" x14ac:dyDescent="0.2">
      <c r="A27" s="7">
        <f>'Sheet 2. County Level Data'!$A25</f>
        <v>0</v>
      </c>
      <c r="B27" s="7">
        <f>'Sheet 2. County Level Data'!C25</f>
        <v>0</v>
      </c>
      <c r="C27" s="9" t="e">
        <f t="shared" si="8"/>
        <v>#DIV/0!</v>
      </c>
      <c r="D27" s="12">
        <f>'Sheet 2. County Level Data'!$D25</f>
        <v>0</v>
      </c>
      <c r="E27" s="13" t="e">
        <f t="shared" si="9"/>
        <v>#DIV/0!</v>
      </c>
      <c r="F27" s="12">
        <f>'Sheet 2. County Level Data'!$E25</f>
        <v>0</v>
      </c>
      <c r="G27" s="12">
        <f t="shared" si="1"/>
        <v>0</v>
      </c>
      <c r="H27" s="12">
        <f>'Sheet 2. County Level Data'!$F25</f>
        <v>0</v>
      </c>
      <c r="I27" s="13" t="e">
        <f t="shared" si="2"/>
        <v>#DIV/0!</v>
      </c>
      <c r="J27" s="14">
        <f t="shared" si="3"/>
        <v>0</v>
      </c>
      <c r="K27" s="14">
        <f t="shared" si="4"/>
        <v>0</v>
      </c>
      <c r="L27" s="12">
        <f>'Sheet 2. County Level Data'!$G25</f>
        <v>0</v>
      </c>
      <c r="M27" s="12">
        <f t="shared" si="5"/>
        <v>0</v>
      </c>
      <c r="N27" s="12">
        <f t="shared" si="6"/>
        <v>0</v>
      </c>
      <c r="O27" s="12">
        <f>'Sheet 2. County Level Data'!$H25</f>
        <v>0</v>
      </c>
      <c r="P27" s="13" t="e">
        <f t="shared" si="7"/>
        <v>#DIV/0!</v>
      </c>
      <c r="Q27" s="7">
        <f t="shared" si="10"/>
        <v>0</v>
      </c>
      <c r="R27" s="7">
        <f t="shared" si="11"/>
        <v>0</v>
      </c>
      <c r="S27" s="7" t="e">
        <f t="shared" si="12"/>
        <v>#DIV/0!</v>
      </c>
    </row>
    <row r="28" spans="1:19" x14ac:dyDescent="0.2">
      <c r="A28" s="7">
        <f>'Sheet 2. County Level Data'!$A26</f>
        <v>0</v>
      </c>
      <c r="B28" s="7">
        <f>'Sheet 2. County Level Data'!C26</f>
        <v>0</v>
      </c>
      <c r="C28" s="9" t="e">
        <f t="shared" si="8"/>
        <v>#DIV/0!</v>
      </c>
      <c r="D28" s="12">
        <f>'Sheet 2. County Level Data'!$D26</f>
        <v>0</v>
      </c>
      <c r="E28" s="13" t="e">
        <f t="shared" si="9"/>
        <v>#DIV/0!</v>
      </c>
      <c r="F28" s="12">
        <f>'Sheet 2. County Level Data'!$E26</f>
        <v>0</v>
      </c>
      <c r="G28" s="12">
        <f t="shared" si="1"/>
        <v>0</v>
      </c>
      <c r="H28" s="12">
        <f>'Sheet 2. County Level Data'!$F26</f>
        <v>0</v>
      </c>
      <c r="I28" s="13" t="e">
        <f t="shared" si="2"/>
        <v>#DIV/0!</v>
      </c>
      <c r="J28" s="14">
        <f t="shared" si="3"/>
        <v>0</v>
      </c>
      <c r="K28" s="14">
        <f t="shared" si="4"/>
        <v>0</v>
      </c>
      <c r="L28" s="12">
        <f>'Sheet 2. County Level Data'!$G26</f>
        <v>0</v>
      </c>
      <c r="M28" s="12">
        <f t="shared" si="5"/>
        <v>0</v>
      </c>
      <c r="N28" s="12">
        <f t="shared" si="6"/>
        <v>0</v>
      </c>
      <c r="O28" s="12">
        <f>'Sheet 2. County Level Data'!$H26</f>
        <v>0</v>
      </c>
      <c r="P28" s="13" t="e">
        <f t="shared" si="7"/>
        <v>#DIV/0!</v>
      </c>
      <c r="Q28" s="7">
        <f t="shared" si="10"/>
        <v>0</v>
      </c>
      <c r="R28" s="7">
        <f t="shared" si="11"/>
        <v>0</v>
      </c>
      <c r="S28" s="7" t="e">
        <f t="shared" si="12"/>
        <v>#DIV/0!</v>
      </c>
    </row>
    <row r="29" spans="1:19" x14ac:dyDescent="0.2">
      <c r="A29" s="7">
        <f>'Sheet 2. County Level Data'!$A27</f>
        <v>0</v>
      </c>
      <c r="B29" s="7">
        <f>'Sheet 2. County Level Data'!C27</f>
        <v>0</v>
      </c>
      <c r="C29" s="9" t="e">
        <f t="shared" si="8"/>
        <v>#DIV/0!</v>
      </c>
      <c r="D29" s="12">
        <f>'Sheet 2. County Level Data'!$D27</f>
        <v>0</v>
      </c>
      <c r="E29" s="13" t="e">
        <f t="shared" si="9"/>
        <v>#DIV/0!</v>
      </c>
      <c r="F29" s="12">
        <f>'Sheet 2. County Level Data'!$E27</f>
        <v>0</v>
      </c>
      <c r="G29" s="12">
        <f t="shared" si="1"/>
        <v>0</v>
      </c>
      <c r="H29" s="12">
        <f>'Sheet 2. County Level Data'!$F27</f>
        <v>0</v>
      </c>
      <c r="I29" s="13" t="e">
        <f t="shared" si="2"/>
        <v>#DIV/0!</v>
      </c>
      <c r="J29" s="14">
        <f t="shared" si="3"/>
        <v>0</v>
      </c>
      <c r="K29" s="14">
        <f t="shared" si="4"/>
        <v>0</v>
      </c>
      <c r="L29" s="12">
        <f>'Sheet 2. County Level Data'!$G27</f>
        <v>0</v>
      </c>
      <c r="M29" s="12">
        <f t="shared" si="5"/>
        <v>0</v>
      </c>
      <c r="N29" s="12">
        <f t="shared" si="6"/>
        <v>0</v>
      </c>
      <c r="O29" s="12">
        <f>'Sheet 2. County Level Data'!$H27</f>
        <v>0</v>
      </c>
      <c r="P29" s="13" t="e">
        <f t="shared" si="7"/>
        <v>#DIV/0!</v>
      </c>
      <c r="Q29" s="7">
        <f t="shared" si="10"/>
        <v>0</v>
      </c>
      <c r="R29" s="7">
        <f t="shared" si="11"/>
        <v>0</v>
      </c>
      <c r="S29" s="7" t="e">
        <f t="shared" si="12"/>
        <v>#DIV/0!</v>
      </c>
    </row>
    <row r="30" spans="1:19" x14ac:dyDescent="0.2">
      <c r="A30" s="7">
        <f>'Sheet 2. County Level Data'!$A28</f>
        <v>0</v>
      </c>
      <c r="B30" s="7">
        <f>'Sheet 2. County Level Data'!C28</f>
        <v>0</v>
      </c>
      <c r="C30" s="9" t="e">
        <f t="shared" si="8"/>
        <v>#DIV/0!</v>
      </c>
      <c r="D30" s="12">
        <f>'Sheet 2. County Level Data'!$D28</f>
        <v>0</v>
      </c>
      <c r="E30" s="13" t="e">
        <f t="shared" si="9"/>
        <v>#DIV/0!</v>
      </c>
      <c r="F30" s="12">
        <f>'Sheet 2. County Level Data'!$E28</f>
        <v>0</v>
      </c>
      <c r="G30" s="12">
        <f t="shared" si="1"/>
        <v>0</v>
      </c>
      <c r="H30" s="12">
        <f>'Sheet 2. County Level Data'!$F28</f>
        <v>0</v>
      </c>
      <c r="I30" s="13" t="e">
        <f t="shared" si="2"/>
        <v>#DIV/0!</v>
      </c>
      <c r="J30" s="14">
        <f t="shared" si="3"/>
        <v>0</v>
      </c>
      <c r="K30" s="14">
        <f t="shared" si="4"/>
        <v>0</v>
      </c>
      <c r="L30" s="12">
        <f>'Sheet 2. County Level Data'!$G28</f>
        <v>0</v>
      </c>
      <c r="M30" s="12">
        <f t="shared" si="5"/>
        <v>0</v>
      </c>
      <c r="N30" s="12">
        <f t="shared" si="6"/>
        <v>0</v>
      </c>
      <c r="O30" s="12">
        <f>'Sheet 2. County Level Data'!$H28</f>
        <v>0</v>
      </c>
      <c r="P30" s="13" t="e">
        <f t="shared" si="7"/>
        <v>#DIV/0!</v>
      </c>
      <c r="Q30" s="7">
        <f t="shared" si="10"/>
        <v>0</v>
      </c>
      <c r="R30" s="7">
        <f t="shared" si="11"/>
        <v>0</v>
      </c>
      <c r="S30" s="7" t="e">
        <f t="shared" si="12"/>
        <v>#DIV/0!</v>
      </c>
    </row>
    <row r="31" spans="1:19" x14ac:dyDescent="0.2">
      <c r="A31" s="7">
        <f>'Sheet 2. County Level Data'!$A29</f>
        <v>0</v>
      </c>
      <c r="B31" s="7">
        <f>'Sheet 2. County Level Data'!C29</f>
        <v>0</v>
      </c>
      <c r="C31" s="9" t="e">
        <f t="shared" si="8"/>
        <v>#DIV/0!</v>
      </c>
      <c r="D31" s="12">
        <f>'Sheet 2. County Level Data'!$D29</f>
        <v>0</v>
      </c>
      <c r="E31" s="13" t="e">
        <f t="shared" si="9"/>
        <v>#DIV/0!</v>
      </c>
      <c r="F31" s="12">
        <f>'Sheet 2. County Level Data'!$E29</f>
        <v>0</v>
      </c>
      <c r="G31" s="12">
        <f t="shared" si="1"/>
        <v>0</v>
      </c>
      <c r="H31" s="12">
        <f>'Sheet 2. County Level Data'!$F29</f>
        <v>0</v>
      </c>
      <c r="I31" s="13" t="e">
        <f t="shared" si="2"/>
        <v>#DIV/0!</v>
      </c>
      <c r="J31" s="14">
        <f t="shared" si="3"/>
        <v>0</v>
      </c>
      <c r="K31" s="14">
        <f t="shared" si="4"/>
        <v>0</v>
      </c>
      <c r="L31" s="12">
        <f>'Sheet 2. County Level Data'!$G29</f>
        <v>0</v>
      </c>
      <c r="M31" s="12">
        <f t="shared" si="5"/>
        <v>0</v>
      </c>
      <c r="N31" s="12">
        <f t="shared" si="6"/>
        <v>0</v>
      </c>
      <c r="O31" s="12">
        <f>'Sheet 2. County Level Data'!$H29</f>
        <v>0</v>
      </c>
      <c r="P31" s="13" t="e">
        <f t="shared" si="7"/>
        <v>#DIV/0!</v>
      </c>
      <c r="Q31" s="7">
        <f t="shared" si="10"/>
        <v>0</v>
      </c>
      <c r="R31" s="7">
        <f t="shared" si="11"/>
        <v>0</v>
      </c>
      <c r="S31" s="7" t="e">
        <f t="shared" si="12"/>
        <v>#DIV/0!</v>
      </c>
    </row>
    <row r="32" spans="1:19" x14ac:dyDescent="0.2">
      <c r="A32" s="7">
        <f>'Sheet 2. County Level Data'!$A30</f>
        <v>0</v>
      </c>
      <c r="B32" s="7">
        <f>'Sheet 2. County Level Data'!C30</f>
        <v>0</v>
      </c>
      <c r="C32" s="9" t="e">
        <f t="shared" si="8"/>
        <v>#DIV/0!</v>
      </c>
      <c r="D32" s="12">
        <f>'Sheet 2. County Level Data'!$D30</f>
        <v>0</v>
      </c>
      <c r="E32" s="13" t="e">
        <f t="shared" si="9"/>
        <v>#DIV/0!</v>
      </c>
      <c r="F32" s="12">
        <f>'Sheet 2. County Level Data'!$E30</f>
        <v>0</v>
      </c>
      <c r="G32" s="12">
        <f t="shared" si="1"/>
        <v>0</v>
      </c>
      <c r="H32" s="12">
        <f>'Sheet 2. County Level Data'!$F30</f>
        <v>0</v>
      </c>
      <c r="I32" s="13" t="e">
        <f t="shared" si="2"/>
        <v>#DIV/0!</v>
      </c>
      <c r="J32" s="14">
        <f t="shared" si="3"/>
        <v>0</v>
      </c>
      <c r="K32" s="14">
        <f t="shared" si="4"/>
        <v>0</v>
      </c>
      <c r="L32" s="12">
        <f>'Sheet 2. County Level Data'!$G30</f>
        <v>0</v>
      </c>
      <c r="M32" s="12">
        <f t="shared" si="5"/>
        <v>0</v>
      </c>
      <c r="N32" s="12">
        <f t="shared" si="6"/>
        <v>0</v>
      </c>
      <c r="O32" s="12">
        <f>'Sheet 2. County Level Data'!$H30</f>
        <v>0</v>
      </c>
      <c r="P32" s="13" t="e">
        <f t="shared" si="7"/>
        <v>#DIV/0!</v>
      </c>
      <c r="Q32" s="7">
        <f t="shared" si="10"/>
        <v>0</v>
      </c>
      <c r="R32" s="7">
        <f t="shared" si="11"/>
        <v>0</v>
      </c>
      <c r="S32" s="7" t="e">
        <f t="shared" si="12"/>
        <v>#DIV/0!</v>
      </c>
    </row>
    <row r="33" spans="1:19" x14ac:dyDescent="0.2">
      <c r="A33" s="7">
        <f>'Sheet 2. County Level Data'!$A31</f>
        <v>0</v>
      </c>
      <c r="B33" s="7">
        <f>'Sheet 2. County Level Data'!C31</f>
        <v>0</v>
      </c>
      <c r="C33" s="9" t="e">
        <f t="shared" si="8"/>
        <v>#DIV/0!</v>
      </c>
      <c r="D33" s="12">
        <f>'Sheet 2. County Level Data'!$D31</f>
        <v>0</v>
      </c>
      <c r="E33" s="13" t="e">
        <f t="shared" si="9"/>
        <v>#DIV/0!</v>
      </c>
      <c r="F33" s="12">
        <f>'Sheet 2. County Level Data'!$E31</f>
        <v>0</v>
      </c>
      <c r="G33" s="12">
        <f t="shared" si="1"/>
        <v>0</v>
      </c>
      <c r="H33" s="12">
        <f>'Sheet 2. County Level Data'!$F31</f>
        <v>0</v>
      </c>
      <c r="I33" s="13" t="e">
        <f t="shared" si="2"/>
        <v>#DIV/0!</v>
      </c>
      <c r="J33" s="14">
        <f t="shared" si="3"/>
        <v>0</v>
      </c>
      <c r="K33" s="14">
        <f t="shared" si="4"/>
        <v>0</v>
      </c>
      <c r="L33" s="12">
        <f>'Sheet 2. County Level Data'!$G31</f>
        <v>0</v>
      </c>
      <c r="M33" s="12">
        <f t="shared" si="5"/>
        <v>0</v>
      </c>
      <c r="N33" s="12">
        <f t="shared" si="6"/>
        <v>0</v>
      </c>
      <c r="O33" s="12">
        <f>'Sheet 2. County Level Data'!$H31</f>
        <v>0</v>
      </c>
      <c r="P33" s="13" t="e">
        <f t="shared" si="7"/>
        <v>#DIV/0!</v>
      </c>
      <c r="Q33" s="7">
        <f t="shared" si="10"/>
        <v>0</v>
      </c>
      <c r="R33" s="7">
        <f t="shared" si="11"/>
        <v>0</v>
      </c>
      <c r="S33" s="7" t="e">
        <f t="shared" si="12"/>
        <v>#DIV/0!</v>
      </c>
    </row>
    <row r="34" spans="1:19" x14ac:dyDescent="0.2">
      <c r="A34" s="7">
        <f>'Sheet 2. County Level Data'!$A32</f>
        <v>0</v>
      </c>
      <c r="B34" s="7">
        <f>'Sheet 2. County Level Data'!C32</f>
        <v>0</v>
      </c>
      <c r="C34" s="9" t="e">
        <f t="shared" si="8"/>
        <v>#DIV/0!</v>
      </c>
      <c r="D34" s="12">
        <f>'Sheet 2. County Level Data'!$D32</f>
        <v>0</v>
      </c>
      <c r="E34" s="13" t="e">
        <f t="shared" si="9"/>
        <v>#DIV/0!</v>
      </c>
      <c r="F34" s="12">
        <f>'Sheet 2. County Level Data'!$E32</f>
        <v>0</v>
      </c>
      <c r="G34" s="12">
        <f t="shared" si="1"/>
        <v>0</v>
      </c>
      <c r="H34" s="12">
        <f>'Sheet 2. County Level Data'!$F32</f>
        <v>0</v>
      </c>
      <c r="I34" s="13" t="e">
        <f t="shared" si="2"/>
        <v>#DIV/0!</v>
      </c>
      <c r="J34" s="14">
        <f t="shared" si="3"/>
        <v>0</v>
      </c>
      <c r="K34" s="14">
        <f t="shared" si="4"/>
        <v>0</v>
      </c>
      <c r="L34" s="12">
        <f>'Sheet 2. County Level Data'!$G32</f>
        <v>0</v>
      </c>
      <c r="M34" s="12">
        <f t="shared" si="5"/>
        <v>0</v>
      </c>
      <c r="N34" s="12">
        <f t="shared" si="6"/>
        <v>0</v>
      </c>
      <c r="O34" s="12">
        <f>'Sheet 2. County Level Data'!$H32</f>
        <v>0</v>
      </c>
      <c r="P34" s="13" t="e">
        <f t="shared" si="7"/>
        <v>#DIV/0!</v>
      </c>
      <c r="Q34" s="7">
        <f t="shared" si="10"/>
        <v>0</v>
      </c>
      <c r="R34" s="7">
        <f t="shared" si="11"/>
        <v>0</v>
      </c>
      <c r="S34" s="7" t="e">
        <f t="shared" si="12"/>
        <v>#DIV/0!</v>
      </c>
    </row>
    <row r="35" spans="1:19" x14ac:dyDescent="0.2">
      <c r="A35" s="7">
        <f>'Sheet 2. County Level Data'!$A33</f>
        <v>0</v>
      </c>
      <c r="B35" s="7">
        <f>'Sheet 2. County Level Data'!C33</f>
        <v>0</v>
      </c>
      <c r="C35" s="9" t="e">
        <f t="shared" si="8"/>
        <v>#DIV/0!</v>
      </c>
      <c r="D35" s="12">
        <f>'Sheet 2. County Level Data'!$D33</f>
        <v>0</v>
      </c>
      <c r="E35" s="13" t="e">
        <f t="shared" si="9"/>
        <v>#DIV/0!</v>
      </c>
      <c r="F35" s="12">
        <f>'Sheet 2. County Level Data'!$E33</f>
        <v>0</v>
      </c>
      <c r="G35" s="12">
        <f t="shared" si="1"/>
        <v>0</v>
      </c>
      <c r="H35" s="12">
        <f>'Sheet 2. County Level Data'!$F33</f>
        <v>0</v>
      </c>
      <c r="I35" s="13" t="e">
        <f t="shared" si="2"/>
        <v>#DIV/0!</v>
      </c>
      <c r="J35" s="14">
        <f t="shared" si="3"/>
        <v>0</v>
      </c>
      <c r="K35" s="14">
        <f t="shared" si="4"/>
        <v>0</v>
      </c>
      <c r="L35" s="12">
        <f>'Sheet 2. County Level Data'!$G33</f>
        <v>0</v>
      </c>
      <c r="M35" s="12">
        <f t="shared" si="5"/>
        <v>0</v>
      </c>
      <c r="N35" s="12">
        <f t="shared" si="6"/>
        <v>0</v>
      </c>
      <c r="O35" s="12">
        <f>'Sheet 2. County Level Data'!$H33</f>
        <v>0</v>
      </c>
      <c r="P35" s="13" t="e">
        <f t="shared" si="7"/>
        <v>#DIV/0!</v>
      </c>
      <c r="Q35" s="7">
        <f t="shared" si="10"/>
        <v>0</v>
      </c>
      <c r="R35" s="7">
        <f t="shared" si="11"/>
        <v>0</v>
      </c>
      <c r="S35" s="7" t="e">
        <f t="shared" si="12"/>
        <v>#DIV/0!</v>
      </c>
    </row>
    <row r="36" spans="1:19" x14ac:dyDescent="0.2">
      <c r="A36" s="7">
        <f>'Sheet 2. County Level Data'!$A34</f>
        <v>0</v>
      </c>
      <c r="B36" s="7">
        <f>'Sheet 2. County Level Data'!C34</f>
        <v>0</v>
      </c>
      <c r="C36" s="9" t="e">
        <f t="shared" si="8"/>
        <v>#DIV/0!</v>
      </c>
      <c r="D36" s="12">
        <f>'Sheet 2. County Level Data'!$D34</f>
        <v>0</v>
      </c>
      <c r="E36" s="13" t="e">
        <f t="shared" si="9"/>
        <v>#DIV/0!</v>
      </c>
      <c r="F36" s="12">
        <f>'Sheet 2. County Level Data'!$E34</f>
        <v>0</v>
      </c>
      <c r="G36" s="12">
        <f t="shared" ref="G36:G67" si="13">IF(F36&gt;=4,1,0)</f>
        <v>0</v>
      </c>
      <c r="H36" s="12">
        <f>'Sheet 2. County Level Data'!$F34</f>
        <v>0</v>
      </c>
      <c r="I36" s="13" t="e">
        <f t="shared" ref="I36:I67" si="14">$H36/$B36</f>
        <v>#DIV/0!</v>
      </c>
      <c r="J36" s="14">
        <f t="shared" ref="J36:J67" si="15">IF(G36=0,H36,0)</f>
        <v>0</v>
      </c>
      <c r="K36" s="14">
        <f t="shared" ref="K36:K67" si="16">IF(G36=1,H36,0)</f>
        <v>0</v>
      </c>
      <c r="L36" s="12">
        <f>'Sheet 2. County Level Data'!$G34</f>
        <v>0</v>
      </c>
      <c r="M36" s="12">
        <f t="shared" ref="M36:M67" si="17">IF(G36=0,L36,0)</f>
        <v>0</v>
      </c>
      <c r="N36" s="12">
        <f t="shared" ref="N36:N67" si="18">IF(G36=1,L36,0)</f>
        <v>0</v>
      </c>
      <c r="O36" s="12">
        <f>'Sheet 2. County Level Data'!$H34</f>
        <v>0</v>
      </c>
      <c r="P36" s="13" t="e">
        <f t="shared" ref="P36:P67" si="19">$O36/$B36</f>
        <v>#DIV/0!</v>
      </c>
      <c r="Q36" s="7">
        <f t="shared" si="10"/>
        <v>0</v>
      </c>
      <c r="R36" s="7">
        <f t="shared" si="11"/>
        <v>0</v>
      </c>
      <c r="S36" s="7" t="e">
        <f t="shared" si="12"/>
        <v>#DIV/0!</v>
      </c>
    </row>
    <row r="37" spans="1:19" x14ac:dyDescent="0.2">
      <c r="A37" s="7">
        <f>'Sheet 2. County Level Data'!$A35</f>
        <v>0</v>
      </c>
      <c r="B37" s="7">
        <f>'Sheet 2. County Level Data'!C35</f>
        <v>0</v>
      </c>
      <c r="C37" s="9" t="e">
        <f t="shared" si="8"/>
        <v>#DIV/0!</v>
      </c>
      <c r="D37" s="12">
        <f>'Sheet 2. County Level Data'!$D35</f>
        <v>0</v>
      </c>
      <c r="E37" s="13" t="e">
        <f t="shared" si="9"/>
        <v>#DIV/0!</v>
      </c>
      <c r="F37" s="12">
        <f>'Sheet 2. County Level Data'!$E35</f>
        <v>0</v>
      </c>
      <c r="G37" s="12">
        <f t="shared" si="13"/>
        <v>0</v>
      </c>
      <c r="H37" s="12">
        <f>'Sheet 2. County Level Data'!$F35</f>
        <v>0</v>
      </c>
      <c r="I37" s="13" t="e">
        <f t="shared" si="14"/>
        <v>#DIV/0!</v>
      </c>
      <c r="J37" s="14">
        <f t="shared" si="15"/>
        <v>0</v>
      </c>
      <c r="K37" s="14">
        <f t="shared" si="16"/>
        <v>0</v>
      </c>
      <c r="L37" s="12">
        <f>'Sheet 2. County Level Data'!$G35</f>
        <v>0</v>
      </c>
      <c r="M37" s="12">
        <f t="shared" si="17"/>
        <v>0</v>
      </c>
      <c r="N37" s="12">
        <f t="shared" si="18"/>
        <v>0</v>
      </c>
      <c r="O37" s="12">
        <f>'Sheet 2. County Level Data'!$H35</f>
        <v>0</v>
      </c>
      <c r="P37" s="13" t="e">
        <f t="shared" si="19"/>
        <v>#DIV/0!</v>
      </c>
      <c r="Q37" s="7">
        <f t="shared" si="10"/>
        <v>0</v>
      </c>
      <c r="R37" s="7">
        <f t="shared" si="11"/>
        <v>0</v>
      </c>
      <c r="S37" s="7" t="e">
        <f t="shared" si="12"/>
        <v>#DIV/0!</v>
      </c>
    </row>
    <row r="38" spans="1:19" x14ac:dyDescent="0.2">
      <c r="A38" s="7">
        <f>'Sheet 2. County Level Data'!$A36</f>
        <v>0</v>
      </c>
      <c r="B38" s="7">
        <f>'Sheet 2. County Level Data'!C36</f>
        <v>0</v>
      </c>
      <c r="C38" s="9" t="e">
        <f t="shared" si="8"/>
        <v>#DIV/0!</v>
      </c>
      <c r="D38" s="12">
        <f>'Sheet 2. County Level Data'!$D36</f>
        <v>0</v>
      </c>
      <c r="E38" s="13" t="e">
        <f t="shared" si="9"/>
        <v>#DIV/0!</v>
      </c>
      <c r="F38" s="12">
        <f>'Sheet 2. County Level Data'!$E36</f>
        <v>0</v>
      </c>
      <c r="G38" s="12">
        <f t="shared" si="13"/>
        <v>0</v>
      </c>
      <c r="H38" s="12">
        <f>'Sheet 2. County Level Data'!$F36</f>
        <v>0</v>
      </c>
      <c r="I38" s="13" t="e">
        <f t="shared" si="14"/>
        <v>#DIV/0!</v>
      </c>
      <c r="J38" s="14">
        <f t="shared" si="15"/>
        <v>0</v>
      </c>
      <c r="K38" s="14">
        <f t="shared" si="16"/>
        <v>0</v>
      </c>
      <c r="L38" s="12">
        <f>'Sheet 2. County Level Data'!$G36</f>
        <v>0</v>
      </c>
      <c r="M38" s="12">
        <f t="shared" si="17"/>
        <v>0</v>
      </c>
      <c r="N38" s="12">
        <f t="shared" si="18"/>
        <v>0</v>
      </c>
      <c r="O38" s="12">
        <f>'Sheet 2. County Level Data'!$H36</f>
        <v>0</v>
      </c>
      <c r="P38" s="13" t="e">
        <f t="shared" si="19"/>
        <v>#DIV/0!</v>
      </c>
      <c r="Q38" s="7">
        <f t="shared" si="10"/>
        <v>0</v>
      </c>
      <c r="R38" s="7">
        <f t="shared" si="11"/>
        <v>0</v>
      </c>
      <c r="S38" s="7" t="e">
        <f t="shared" si="12"/>
        <v>#DIV/0!</v>
      </c>
    </row>
    <row r="39" spans="1:19" x14ac:dyDescent="0.2">
      <c r="A39" s="7">
        <f>'Sheet 2. County Level Data'!$A37</f>
        <v>0</v>
      </c>
      <c r="B39" s="7">
        <f>'Sheet 2. County Level Data'!C37</f>
        <v>0</v>
      </c>
      <c r="C39" s="9" t="e">
        <f t="shared" si="8"/>
        <v>#DIV/0!</v>
      </c>
      <c r="D39" s="12">
        <f>'Sheet 2. County Level Data'!$D37</f>
        <v>0</v>
      </c>
      <c r="E39" s="13" t="e">
        <f t="shared" si="9"/>
        <v>#DIV/0!</v>
      </c>
      <c r="F39" s="12">
        <f>'Sheet 2. County Level Data'!$E37</f>
        <v>0</v>
      </c>
      <c r="G39" s="12">
        <f t="shared" si="13"/>
        <v>0</v>
      </c>
      <c r="H39" s="12">
        <f>'Sheet 2. County Level Data'!$F37</f>
        <v>0</v>
      </c>
      <c r="I39" s="13" t="e">
        <f t="shared" si="14"/>
        <v>#DIV/0!</v>
      </c>
      <c r="J39" s="14">
        <f t="shared" si="15"/>
        <v>0</v>
      </c>
      <c r="K39" s="14">
        <f t="shared" si="16"/>
        <v>0</v>
      </c>
      <c r="L39" s="12">
        <f>'Sheet 2. County Level Data'!$G37</f>
        <v>0</v>
      </c>
      <c r="M39" s="12">
        <f t="shared" si="17"/>
        <v>0</v>
      </c>
      <c r="N39" s="12">
        <f t="shared" si="18"/>
        <v>0</v>
      </c>
      <c r="O39" s="12">
        <f>'Sheet 2. County Level Data'!$H37</f>
        <v>0</v>
      </c>
      <c r="P39" s="13" t="e">
        <f t="shared" si="19"/>
        <v>#DIV/0!</v>
      </c>
      <c r="Q39" s="7">
        <f t="shared" si="10"/>
        <v>0</v>
      </c>
      <c r="R39" s="7">
        <f t="shared" si="11"/>
        <v>0</v>
      </c>
      <c r="S39" s="7" t="e">
        <f t="shared" si="12"/>
        <v>#DIV/0!</v>
      </c>
    </row>
    <row r="40" spans="1:19" x14ac:dyDescent="0.2">
      <c r="A40" s="7">
        <f>'Sheet 2. County Level Data'!$A38</f>
        <v>0</v>
      </c>
      <c r="B40" s="7">
        <f>'Sheet 2. County Level Data'!C38</f>
        <v>0</v>
      </c>
      <c r="C40" s="9" t="e">
        <f t="shared" si="8"/>
        <v>#DIV/0!</v>
      </c>
      <c r="D40" s="12">
        <f>'Sheet 2. County Level Data'!$D38</f>
        <v>0</v>
      </c>
      <c r="E40" s="13" t="e">
        <f t="shared" si="9"/>
        <v>#DIV/0!</v>
      </c>
      <c r="F40" s="12">
        <f>'Sheet 2. County Level Data'!$E38</f>
        <v>0</v>
      </c>
      <c r="G40" s="12">
        <f t="shared" si="13"/>
        <v>0</v>
      </c>
      <c r="H40" s="12">
        <f>'Sheet 2. County Level Data'!$F38</f>
        <v>0</v>
      </c>
      <c r="I40" s="13" t="e">
        <f t="shared" si="14"/>
        <v>#DIV/0!</v>
      </c>
      <c r="J40" s="14">
        <f t="shared" si="15"/>
        <v>0</v>
      </c>
      <c r="K40" s="14">
        <f t="shared" si="16"/>
        <v>0</v>
      </c>
      <c r="L40" s="12">
        <f>'Sheet 2. County Level Data'!$G38</f>
        <v>0</v>
      </c>
      <c r="M40" s="12">
        <f t="shared" si="17"/>
        <v>0</v>
      </c>
      <c r="N40" s="12">
        <f t="shared" si="18"/>
        <v>0</v>
      </c>
      <c r="O40" s="12">
        <f>'Sheet 2. County Level Data'!$H38</f>
        <v>0</v>
      </c>
      <c r="P40" s="13" t="e">
        <f t="shared" si="19"/>
        <v>#DIV/0!</v>
      </c>
      <c r="Q40" s="7">
        <f t="shared" si="10"/>
        <v>0</v>
      </c>
      <c r="R40" s="7">
        <f t="shared" si="11"/>
        <v>0</v>
      </c>
      <c r="S40" s="7" t="e">
        <f t="shared" si="12"/>
        <v>#DIV/0!</v>
      </c>
    </row>
    <row r="41" spans="1:19" x14ac:dyDescent="0.2">
      <c r="A41" s="7">
        <f>'Sheet 2. County Level Data'!$A39</f>
        <v>0</v>
      </c>
      <c r="B41" s="7">
        <f>'Sheet 2. County Level Data'!C39</f>
        <v>0</v>
      </c>
      <c r="C41" s="9" t="e">
        <f t="shared" si="8"/>
        <v>#DIV/0!</v>
      </c>
      <c r="D41" s="12">
        <f>'Sheet 2. County Level Data'!$D39</f>
        <v>0</v>
      </c>
      <c r="E41" s="13" t="e">
        <f t="shared" si="9"/>
        <v>#DIV/0!</v>
      </c>
      <c r="F41" s="12">
        <f>'Sheet 2. County Level Data'!$E39</f>
        <v>0</v>
      </c>
      <c r="G41" s="12">
        <f t="shared" si="13"/>
        <v>0</v>
      </c>
      <c r="H41" s="12">
        <f>'Sheet 2. County Level Data'!$F39</f>
        <v>0</v>
      </c>
      <c r="I41" s="13" t="e">
        <f t="shared" si="14"/>
        <v>#DIV/0!</v>
      </c>
      <c r="J41" s="14">
        <f t="shared" si="15"/>
        <v>0</v>
      </c>
      <c r="K41" s="14">
        <f t="shared" si="16"/>
        <v>0</v>
      </c>
      <c r="L41" s="12">
        <f>'Sheet 2. County Level Data'!$G39</f>
        <v>0</v>
      </c>
      <c r="M41" s="12">
        <f t="shared" si="17"/>
        <v>0</v>
      </c>
      <c r="N41" s="12">
        <f t="shared" si="18"/>
        <v>0</v>
      </c>
      <c r="O41" s="12">
        <f>'Sheet 2. County Level Data'!$H39</f>
        <v>0</v>
      </c>
      <c r="P41" s="13" t="e">
        <f t="shared" si="19"/>
        <v>#DIV/0!</v>
      </c>
      <c r="Q41" s="7">
        <f t="shared" si="10"/>
        <v>0</v>
      </c>
      <c r="R41" s="7">
        <f t="shared" si="11"/>
        <v>0</v>
      </c>
      <c r="S41" s="7" t="e">
        <f t="shared" si="12"/>
        <v>#DIV/0!</v>
      </c>
    </row>
    <row r="42" spans="1:19" x14ac:dyDescent="0.2">
      <c r="A42" s="7">
        <f>'Sheet 2. County Level Data'!$A40</f>
        <v>0</v>
      </c>
      <c r="B42" s="7">
        <f>'Sheet 2. County Level Data'!C40</f>
        <v>0</v>
      </c>
      <c r="C42" s="9" t="e">
        <f t="shared" si="8"/>
        <v>#DIV/0!</v>
      </c>
      <c r="D42" s="12">
        <f>'Sheet 2. County Level Data'!$D40</f>
        <v>0</v>
      </c>
      <c r="E42" s="13" t="e">
        <f t="shared" si="9"/>
        <v>#DIV/0!</v>
      </c>
      <c r="F42" s="12">
        <f>'Sheet 2. County Level Data'!$E40</f>
        <v>0</v>
      </c>
      <c r="G42" s="12">
        <f t="shared" si="13"/>
        <v>0</v>
      </c>
      <c r="H42" s="12">
        <f>'Sheet 2. County Level Data'!$F40</f>
        <v>0</v>
      </c>
      <c r="I42" s="13" t="e">
        <f t="shared" si="14"/>
        <v>#DIV/0!</v>
      </c>
      <c r="J42" s="14">
        <f t="shared" si="15"/>
        <v>0</v>
      </c>
      <c r="K42" s="14">
        <f t="shared" si="16"/>
        <v>0</v>
      </c>
      <c r="L42" s="12">
        <f>'Sheet 2. County Level Data'!$G40</f>
        <v>0</v>
      </c>
      <c r="M42" s="12">
        <f t="shared" si="17"/>
        <v>0</v>
      </c>
      <c r="N42" s="12">
        <f t="shared" si="18"/>
        <v>0</v>
      </c>
      <c r="O42" s="12">
        <f>'Sheet 2. County Level Data'!$H40</f>
        <v>0</v>
      </c>
      <c r="P42" s="13" t="e">
        <f t="shared" si="19"/>
        <v>#DIV/0!</v>
      </c>
      <c r="Q42" s="7">
        <f t="shared" si="10"/>
        <v>0</v>
      </c>
      <c r="R42" s="7">
        <f t="shared" si="11"/>
        <v>0</v>
      </c>
      <c r="S42" s="7" t="e">
        <f t="shared" si="12"/>
        <v>#DIV/0!</v>
      </c>
    </row>
    <row r="43" spans="1:19" x14ac:dyDescent="0.2">
      <c r="A43" s="7">
        <f>'Sheet 2. County Level Data'!$A41</f>
        <v>0</v>
      </c>
      <c r="B43" s="7">
        <f>'Sheet 2. County Level Data'!C41</f>
        <v>0</v>
      </c>
      <c r="C43" s="9" t="e">
        <f t="shared" si="8"/>
        <v>#DIV/0!</v>
      </c>
      <c r="D43" s="12">
        <f>'Sheet 2. County Level Data'!$D41</f>
        <v>0</v>
      </c>
      <c r="E43" s="13" t="e">
        <f t="shared" si="9"/>
        <v>#DIV/0!</v>
      </c>
      <c r="F43" s="12">
        <f>'Sheet 2. County Level Data'!$E41</f>
        <v>0</v>
      </c>
      <c r="G43" s="12">
        <f t="shared" si="13"/>
        <v>0</v>
      </c>
      <c r="H43" s="12">
        <f>'Sheet 2. County Level Data'!$F41</f>
        <v>0</v>
      </c>
      <c r="I43" s="13" t="e">
        <f t="shared" si="14"/>
        <v>#DIV/0!</v>
      </c>
      <c r="J43" s="14">
        <f t="shared" si="15"/>
        <v>0</v>
      </c>
      <c r="K43" s="14">
        <f t="shared" si="16"/>
        <v>0</v>
      </c>
      <c r="L43" s="12">
        <f>'Sheet 2. County Level Data'!$G41</f>
        <v>0</v>
      </c>
      <c r="M43" s="12">
        <f t="shared" si="17"/>
        <v>0</v>
      </c>
      <c r="N43" s="12">
        <f t="shared" si="18"/>
        <v>0</v>
      </c>
      <c r="O43" s="12">
        <f>'Sheet 2. County Level Data'!$H41</f>
        <v>0</v>
      </c>
      <c r="P43" s="13" t="e">
        <f t="shared" si="19"/>
        <v>#DIV/0!</v>
      </c>
      <c r="Q43" s="7">
        <f t="shared" si="10"/>
        <v>0</v>
      </c>
      <c r="R43" s="7">
        <f t="shared" si="11"/>
        <v>0</v>
      </c>
      <c r="S43" s="7" t="e">
        <f t="shared" si="12"/>
        <v>#DIV/0!</v>
      </c>
    </row>
    <row r="44" spans="1:19" x14ac:dyDescent="0.2">
      <c r="A44" s="7">
        <f>'Sheet 2. County Level Data'!$A42</f>
        <v>0</v>
      </c>
      <c r="B44" s="7">
        <f>'Sheet 2. County Level Data'!C42</f>
        <v>0</v>
      </c>
      <c r="C44" s="9" t="e">
        <f t="shared" si="8"/>
        <v>#DIV/0!</v>
      </c>
      <c r="D44" s="12">
        <f>'Sheet 2. County Level Data'!$D42</f>
        <v>0</v>
      </c>
      <c r="E44" s="13" t="e">
        <f t="shared" si="9"/>
        <v>#DIV/0!</v>
      </c>
      <c r="F44" s="12">
        <f>'Sheet 2. County Level Data'!$E42</f>
        <v>0</v>
      </c>
      <c r="G44" s="12">
        <f t="shared" si="13"/>
        <v>0</v>
      </c>
      <c r="H44" s="12">
        <f>'Sheet 2. County Level Data'!$F42</f>
        <v>0</v>
      </c>
      <c r="I44" s="13" t="e">
        <f t="shared" si="14"/>
        <v>#DIV/0!</v>
      </c>
      <c r="J44" s="14">
        <f t="shared" si="15"/>
        <v>0</v>
      </c>
      <c r="K44" s="14">
        <f t="shared" si="16"/>
        <v>0</v>
      </c>
      <c r="L44" s="12">
        <f>'Sheet 2. County Level Data'!$G42</f>
        <v>0</v>
      </c>
      <c r="M44" s="12">
        <f t="shared" si="17"/>
        <v>0</v>
      </c>
      <c r="N44" s="12">
        <f t="shared" si="18"/>
        <v>0</v>
      </c>
      <c r="O44" s="12">
        <f>'Sheet 2. County Level Data'!$H42</f>
        <v>0</v>
      </c>
      <c r="P44" s="13" t="e">
        <f t="shared" si="19"/>
        <v>#DIV/0!</v>
      </c>
      <c r="Q44" s="7">
        <f t="shared" si="10"/>
        <v>0</v>
      </c>
      <c r="R44" s="7">
        <f t="shared" si="11"/>
        <v>0</v>
      </c>
      <c r="S44" s="7" t="e">
        <f t="shared" si="12"/>
        <v>#DIV/0!</v>
      </c>
    </row>
    <row r="45" spans="1:19" x14ac:dyDescent="0.2">
      <c r="A45" s="7">
        <f>'Sheet 2. County Level Data'!$A43</f>
        <v>0</v>
      </c>
      <c r="B45" s="7">
        <f>'Sheet 2. County Level Data'!C43</f>
        <v>0</v>
      </c>
      <c r="C45" s="9" t="e">
        <f t="shared" si="8"/>
        <v>#DIV/0!</v>
      </c>
      <c r="D45" s="12">
        <f>'Sheet 2. County Level Data'!$D43</f>
        <v>0</v>
      </c>
      <c r="E45" s="13" t="e">
        <f t="shared" si="9"/>
        <v>#DIV/0!</v>
      </c>
      <c r="F45" s="12">
        <f>'Sheet 2. County Level Data'!$E43</f>
        <v>0</v>
      </c>
      <c r="G45" s="12">
        <f t="shared" si="13"/>
        <v>0</v>
      </c>
      <c r="H45" s="12">
        <f>'Sheet 2. County Level Data'!$F43</f>
        <v>0</v>
      </c>
      <c r="I45" s="13" t="e">
        <f t="shared" si="14"/>
        <v>#DIV/0!</v>
      </c>
      <c r="J45" s="14">
        <f t="shared" si="15"/>
        <v>0</v>
      </c>
      <c r="K45" s="14">
        <f t="shared" si="16"/>
        <v>0</v>
      </c>
      <c r="L45" s="12">
        <f>'Sheet 2. County Level Data'!$G43</f>
        <v>0</v>
      </c>
      <c r="M45" s="12">
        <f t="shared" si="17"/>
        <v>0</v>
      </c>
      <c r="N45" s="12">
        <f t="shared" si="18"/>
        <v>0</v>
      </c>
      <c r="O45" s="12">
        <f>'Sheet 2. County Level Data'!$H43</f>
        <v>0</v>
      </c>
      <c r="P45" s="13" t="e">
        <f t="shared" si="19"/>
        <v>#DIV/0!</v>
      </c>
      <c r="Q45" s="7">
        <f t="shared" si="10"/>
        <v>0</v>
      </c>
      <c r="R45" s="7">
        <f t="shared" si="11"/>
        <v>0</v>
      </c>
      <c r="S45" s="7" t="e">
        <f t="shared" si="12"/>
        <v>#DIV/0!</v>
      </c>
    </row>
    <row r="46" spans="1:19" x14ac:dyDescent="0.2">
      <c r="A46" s="7">
        <f>'Sheet 2. County Level Data'!$A44</f>
        <v>0</v>
      </c>
      <c r="B46" s="7">
        <f>'Sheet 2. County Level Data'!C44</f>
        <v>0</v>
      </c>
      <c r="C46" s="9" t="e">
        <f t="shared" si="8"/>
        <v>#DIV/0!</v>
      </c>
      <c r="D46" s="12">
        <f>'Sheet 2. County Level Data'!$D44</f>
        <v>0</v>
      </c>
      <c r="E46" s="13" t="e">
        <f t="shared" si="9"/>
        <v>#DIV/0!</v>
      </c>
      <c r="F46" s="12">
        <f>'Sheet 2. County Level Data'!$E44</f>
        <v>0</v>
      </c>
      <c r="G46" s="12">
        <f t="shared" si="13"/>
        <v>0</v>
      </c>
      <c r="H46" s="12">
        <f>'Sheet 2. County Level Data'!$F44</f>
        <v>0</v>
      </c>
      <c r="I46" s="13" t="e">
        <f t="shared" si="14"/>
        <v>#DIV/0!</v>
      </c>
      <c r="J46" s="14">
        <f t="shared" si="15"/>
        <v>0</v>
      </c>
      <c r="K46" s="14">
        <f t="shared" si="16"/>
        <v>0</v>
      </c>
      <c r="L46" s="12">
        <f>'Sheet 2. County Level Data'!$G44</f>
        <v>0</v>
      </c>
      <c r="M46" s="12">
        <f t="shared" si="17"/>
        <v>0</v>
      </c>
      <c r="N46" s="12">
        <f t="shared" si="18"/>
        <v>0</v>
      </c>
      <c r="O46" s="12">
        <f>'Sheet 2. County Level Data'!$H44</f>
        <v>0</v>
      </c>
      <c r="P46" s="13" t="e">
        <f t="shared" si="19"/>
        <v>#DIV/0!</v>
      </c>
      <c r="Q46" s="7">
        <f t="shared" si="10"/>
        <v>0</v>
      </c>
      <c r="R46" s="7">
        <f t="shared" si="11"/>
        <v>0</v>
      </c>
      <c r="S46" s="7" t="e">
        <f t="shared" si="12"/>
        <v>#DIV/0!</v>
      </c>
    </row>
    <row r="47" spans="1:19" x14ac:dyDescent="0.2">
      <c r="A47" s="7">
        <f>'Sheet 2. County Level Data'!$A45</f>
        <v>0</v>
      </c>
      <c r="B47" s="7">
        <f>'Sheet 2. County Level Data'!C45</f>
        <v>0</v>
      </c>
      <c r="C47" s="9" t="e">
        <f t="shared" si="8"/>
        <v>#DIV/0!</v>
      </c>
      <c r="D47" s="12">
        <f>'Sheet 2. County Level Data'!$D45</f>
        <v>0</v>
      </c>
      <c r="E47" s="13" t="e">
        <f t="shared" si="9"/>
        <v>#DIV/0!</v>
      </c>
      <c r="F47" s="12">
        <f>'Sheet 2. County Level Data'!$E45</f>
        <v>0</v>
      </c>
      <c r="G47" s="12">
        <f t="shared" si="13"/>
        <v>0</v>
      </c>
      <c r="H47" s="12">
        <f>'Sheet 2. County Level Data'!$F45</f>
        <v>0</v>
      </c>
      <c r="I47" s="13" t="e">
        <f t="shared" si="14"/>
        <v>#DIV/0!</v>
      </c>
      <c r="J47" s="14">
        <f t="shared" si="15"/>
        <v>0</v>
      </c>
      <c r="K47" s="14">
        <f t="shared" si="16"/>
        <v>0</v>
      </c>
      <c r="L47" s="12">
        <f>'Sheet 2. County Level Data'!$G45</f>
        <v>0</v>
      </c>
      <c r="M47" s="12">
        <f t="shared" si="17"/>
        <v>0</v>
      </c>
      <c r="N47" s="12">
        <f t="shared" si="18"/>
        <v>0</v>
      </c>
      <c r="O47" s="12">
        <f>'Sheet 2. County Level Data'!$H45</f>
        <v>0</v>
      </c>
      <c r="P47" s="13" t="e">
        <f t="shared" si="19"/>
        <v>#DIV/0!</v>
      </c>
      <c r="Q47" s="7">
        <f t="shared" si="10"/>
        <v>0</v>
      </c>
      <c r="R47" s="7">
        <f t="shared" si="11"/>
        <v>0</v>
      </c>
      <c r="S47" s="7" t="e">
        <f t="shared" si="12"/>
        <v>#DIV/0!</v>
      </c>
    </row>
    <row r="48" spans="1:19" x14ac:dyDescent="0.2">
      <c r="A48" s="7">
        <f>'Sheet 2. County Level Data'!$A46</f>
        <v>0</v>
      </c>
      <c r="B48" s="7">
        <f>'Sheet 2. County Level Data'!C46</f>
        <v>0</v>
      </c>
      <c r="C48" s="9" t="e">
        <f t="shared" si="8"/>
        <v>#DIV/0!</v>
      </c>
      <c r="D48" s="12">
        <f>'Sheet 2. County Level Data'!$D46</f>
        <v>0</v>
      </c>
      <c r="E48" s="13" t="e">
        <f t="shared" si="9"/>
        <v>#DIV/0!</v>
      </c>
      <c r="F48" s="12">
        <f>'Sheet 2. County Level Data'!$E46</f>
        <v>0</v>
      </c>
      <c r="G48" s="12">
        <f t="shared" si="13"/>
        <v>0</v>
      </c>
      <c r="H48" s="12">
        <f>'Sheet 2. County Level Data'!$F46</f>
        <v>0</v>
      </c>
      <c r="I48" s="13" t="e">
        <f t="shared" si="14"/>
        <v>#DIV/0!</v>
      </c>
      <c r="J48" s="14">
        <f t="shared" si="15"/>
        <v>0</v>
      </c>
      <c r="K48" s="14">
        <f t="shared" si="16"/>
        <v>0</v>
      </c>
      <c r="L48" s="12">
        <f>'Sheet 2. County Level Data'!$G46</f>
        <v>0</v>
      </c>
      <c r="M48" s="12">
        <f t="shared" si="17"/>
        <v>0</v>
      </c>
      <c r="N48" s="12">
        <f t="shared" si="18"/>
        <v>0</v>
      </c>
      <c r="O48" s="12">
        <f>'Sheet 2. County Level Data'!$H46</f>
        <v>0</v>
      </c>
      <c r="P48" s="13" t="e">
        <f t="shared" si="19"/>
        <v>#DIV/0!</v>
      </c>
      <c r="Q48" s="7">
        <f t="shared" si="10"/>
        <v>0</v>
      </c>
      <c r="R48" s="7">
        <f t="shared" si="11"/>
        <v>0</v>
      </c>
      <c r="S48" s="7" t="e">
        <f t="shared" si="12"/>
        <v>#DIV/0!</v>
      </c>
    </row>
    <row r="49" spans="1:19" x14ac:dyDescent="0.2">
      <c r="A49" s="7">
        <f>'Sheet 2. County Level Data'!$A47</f>
        <v>0</v>
      </c>
      <c r="B49" s="7">
        <f>'Sheet 2. County Level Data'!C47</f>
        <v>0</v>
      </c>
      <c r="C49" s="9" t="e">
        <f t="shared" si="8"/>
        <v>#DIV/0!</v>
      </c>
      <c r="D49" s="12">
        <f>'Sheet 2. County Level Data'!$D47</f>
        <v>0</v>
      </c>
      <c r="E49" s="13" t="e">
        <f t="shared" si="9"/>
        <v>#DIV/0!</v>
      </c>
      <c r="F49" s="12">
        <f>'Sheet 2. County Level Data'!$E47</f>
        <v>0</v>
      </c>
      <c r="G49" s="12">
        <f t="shared" si="13"/>
        <v>0</v>
      </c>
      <c r="H49" s="12">
        <f>'Sheet 2. County Level Data'!$F47</f>
        <v>0</v>
      </c>
      <c r="I49" s="13" t="e">
        <f t="shared" si="14"/>
        <v>#DIV/0!</v>
      </c>
      <c r="J49" s="14">
        <f t="shared" si="15"/>
        <v>0</v>
      </c>
      <c r="K49" s="14">
        <f t="shared" si="16"/>
        <v>0</v>
      </c>
      <c r="L49" s="12">
        <f>'Sheet 2. County Level Data'!$G47</f>
        <v>0</v>
      </c>
      <c r="M49" s="12">
        <f t="shared" si="17"/>
        <v>0</v>
      </c>
      <c r="N49" s="12">
        <f t="shared" si="18"/>
        <v>0</v>
      </c>
      <c r="O49" s="12">
        <f>'Sheet 2. County Level Data'!$H47</f>
        <v>0</v>
      </c>
      <c r="P49" s="13" t="e">
        <f t="shared" si="19"/>
        <v>#DIV/0!</v>
      </c>
      <c r="Q49" s="7">
        <f t="shared" si="10"/>
        <v>0</v>
      </c>
      <c r="R49" s="7">
        <f t="shared" si="11"/>
        <v>0</v>
      </c>
      <c r="S49" s="7" t="e">
        <f t="shared" si="12"/>
        <v>#DIV/0!</v>
      </c>
    </row>
    <row r="50" spans="1:19" x14ac:dyDescent="0.2">
      <c r="A50" s="7">
        <f>'Sheet 2. County Level Data'!$A48</f>
        <v>0</v>
      </c>
      <c r="B50" s="7">
        <f>'Sheet 2. County Level Data'!C48</f>
        <v>0</v>
      </c>
      <c r="C50" s="9" t="e">
        <f t="shared" si="8"/>
        <v>#DIV/0!</v>
      </c>
      <c r="D50" s="12">
        <f>'Sheet 2. County Level Data'!$D48</f>
        <v>0</v>
      </c>
      <c r="E50" s="13" t="e">
        <f t="shared" si="9"/>
        <v>#DIV/0!</v>
      </c>
      <c r="F50" s="12">
        <f>'Sheet 2. County Level Data'!$E48</f>
        <v>0</v>
      </c>
      <c r="G50" s="12">
        <f t="shared" si="13"/>
        <v>0</v>
      </c>
      <c r="H50" s="12">
        <f>'Sheet 2. County Level Data'!$F48</f>
        <v>0</v>
      </c>
      <c r="I50" s="13" t="e">
        <f t="shared" si="14"/>
        <v>#DIV/0!</v>
      </c>
      <c r="J50" s="14">
        <f t="shared" si="15"/>
        <v>0</v>
      </c>
      <c r="K50" s="14">
        <f t="shared" si="16"/>
        <v>0</v>
      </c>
      <c r="L50" s="12">
        <f>'Sheet 2. County Level Data'!$G48</f>
        <v>0</v>
      </c>
      <c r="M50" s="12">
        <f t="shared" si="17"/>
        <v>0</v>
      </c>
      <c r="N50" s="12">
        <f t="shared" si="18"/>
        <v>0</v>
      </c>
      <c r="O50" s="12">
        <f>'Sheet 2. County Level Data'!$H48</f>
        <v>0</v>
      </c>
      <c r="P50" s="13" t="e">
        <f t="shared" si="19"/>
        <v>#DIV/0!</v>
      </c>
      <c r="Q50" s="7">
        <f t="shared" si="10"/>
        <v>0</v>
      </c>
      <c r="R50" s="7">
        <f t="shared" si="11"/>
        <v>0</v>
      </c>
      <c r="S50" s="7" t="e">
        <f t="shared" si="12"/>
        <v>#DIV/0!</v>
      </c>
    </row>
    <row r="51" spans="1:19" x14ac:dyDescent="0.2">
      <c r="A51" s="7">
        <f>'Sheet 2. County Level Data'!$A49</f>
        <v>0</v>
      </c>
      <c r="B51" s="7">
        <f>'Sheet 2. County Level Data'!C49</f>
        <v>0</v>
      </c>
      <c r="C51" s="9" t="e">
        <f t="shared" si="8"/>
        <v>#DIV/0!</v>
      </c>
      <c r="D51" s="12">
        <f>'Sheet 2. County Level Data'!$D49</f>
        <v>0</v>
      </c>
      <c r="E51" s="13" t="e">
        <f t="shared" si="9"/>
        <v>#DIV/0!</v>
      </c>
      <c r="F51" s="12">
        <f>'Sheet 2. County Level Data'!$E49</f>
        <v>0</v>
      </c>
      <c r="G51" s="12">
        <f t="shared" si="13"/>
        <v>0</v>
      </c>
      <c r="H51" s="12">
        <f>'Sheet 2. County Level Data'!$F49</f>
        <v>0</v>
      </c>
      <c r="I51" s="13" t="e">
        <f t="shared" si="14"/>
        <v>#DIV/0!</v>
      </c>
      <c r="J51" s="14">
        <f t="shared" si="15"/>
        <v>0</v>
      </c>
      <c r="K51" s="14">
        <f t="shared" si="16"/>
        <v>0</v>
      </c>
      <c r="L51" s="12">
        <f>'Sheet 2. County Level Data'!$G49</f>
        <v>0</v>
      </c>
      <c r="M51" s="12">
        <f t="shared" si="17"/>
        <v>0</v>
      </c>
      <c r="N51" s="12">
        <f t="shared" si="18"/>
        <v>0</v>
      </c>
      <c r="O51" s="12">
        <f>'Sheet 2. County Level Data'!$H49</f>
        <v>0</v>
      </c>
      <c r="P51" s="13" t="e">
        <f t="shared" si="19"/>
        <v>#DIV/0!</v>
      </c>
      <c r="Q51" s="7">
        <f t="shared" si="10"/>
        <v>0</v>
      </c>
      <c r="R51" s="7">
        <f t="shared" si="11"/>
        <v>0</v>
      </c>
      <c r="S51" s="7" t="e">
        <f t="shared" si="12"/>
        <v>#DIV/0!</v>
      </c>
    </row>
    <row r="52" spans="1:19" x14ac:dyDescent="0.2">
      <c r="A52" s="7">
        <f>'Sheet 2. County Level Data'!$A50</f>
        <v>0</v>
      </c>
      <c r="B52" s="7">
        <f>'Sheet 2. County Level Data'!C50</f>
        <v>0</v>
      </c>
      <c r="C52" s="9" t="e">
        <f t="shared" si="8"/>
        <v>#DIV/0!</v>
      </c>
      <c r="D52" s="12">
        <f>'Sheet 2. County Level Data'!$D50</f>
        <v>0</v>
      </c>
      <c r="E52" s="13" t="e">
        <f t="shared" si="9"/>
        <v>#DIV/0!</v>
      </c>
      <c r="F52" s="12">
        <f>'Sheet 2. County Level Data'!$E50</f>
        <v>0</v>
      </c>
      <c r="G52" s="12">
        <f t="shared" si="13"/>
        <v>0</v>
      </c>
      <c r="H52" s="12">
        <f>'Sheet 2. County Level Data'!$F50</f>
        <v>0</v>
      </c>
      <c r="I52" s="13" t="e">
        <f t="shared" si="14"/>
        <v>#DIV/0!</v>
      </c>
      <c r="J52" s="14">
        <f t="shared" si="15"/>
        <v>0</v>
      </c>
      <c r="K52" s="14">
        <f t="shared" si="16"/>
        <v>0</v>
      </c>
      <c r="L52" s="12">
        <f>'Sheet 2. County Level Data'!$G50</f>
        <v>0</v>
      </c>
      <c r="M52" s="12">
        <f t="shared" si="17"/>
        <v>0</v>
      </c>
      <c r="N52" s="12">
        <f t="shared" si="18"/>
        <v>0</v>
      </c>
      <c r="O52" s="12">
        <f>'Sheet 2. County Level Data'!$H50</f>
        <v>0</v>
      </c>
      <c r="P52" s="13" t="e">
        <f t="shared" si="19"/>
        <v>#DIV/0!</v>
      </c>
      <c r="Q52" s="7">
        <f t="shared" si="10"/>
        <v>0</v>
      </c>
      <c r="R52" s="7">
        <f t="shared" si="11"/>
        <v>0</v>
      </c>
      <c r="S52" s="7" t="e">
        <f t="shared" si="12"/>
        <v>#DIV/0!</v>
      </c>
    </row>
    <row r="53" spans="1:19" x14ac:dyDescent="0.2">
      <c r="A53" s="7">
        <f>'Sheet 2. County Level Data'!$A51</f>
        <v>0</v>
      </c>
      <c r="B53" s="7">
        <f>'Sheet 2. County Level Data'!C51</f>
        <v>0</v>
      </c>
      <c r="C53" s="9" t="e">
        <f t="shared" si="8"/>
        <v>#DIV/0!</v>
      </c>
      <c r="D53" s="12">
        <f>'Sheet 2. County Level Data'!$D51</f>
        <v>0</v>
      </c>
      <c r="E53" s="13" t="e">
        <f t="shared" si="9"/>
        <v>#DIV/0!</v>
      </c>
      <c r="F53" s="12">
        <f>'Sheet 2. County Level Data'!$E51</f>
        <v>0</v>
      </c>
      <c r="G53" s="12">
        <f t="shared" si="13"/>
        <v>0</v>
      </c>
      <c r="H53" s="12">
        <f>'Sheet 2. County Level Data'!$F51</f>
        <v>0</v>
      </c>
      <c r="I53" s="13" t="e">
        <f t="shared" si="14"/>
        <v>#DIV/0!</v>
      </c>
      <c r="J53" s="14">
        <f t="shared" si="15"/>
        <v>0</v>
      </c>
      <c r="K53" s="14">
        <f t="shared" si="16"/>
        <v>0</v>
      </c>
      <c r="L53" s="12">
        <f>'Sheet 2. County Level Data'!$G51</f>
        <v>0</v>
      </c>
      <c r="M53" s="12">
        <f t="shared" si="17"/>
        <v>0</v>
      </c>
      <c r="N53" s="12">
        <f t="shared" si="18"/>
        <v>0</v>
      </c>
      <c r="O53" s="12">
        <f>'Sheet 2. County Level Data'!$H51</f>
        <v>0</v>
      </c>
      <c r="P53" s="13" t="e">
        <f t="shared" si="19"/>
        <v>#DIV/0!</v>
      </c>
      <c r="Q53" s="7">
        <f t="shared" si="10"/>
        <v>0</v>
      </c>
      <c r="R53" s="7">
        <f t="shared" si="11"/>
        <v>0</v>
      </c>
      <c r="S53" s="7" t="e">
        <f t="shared" si="12"/>
        <v>#DIV/0!</v>
      </c>
    </row>
    <row r="54" spans="1:19" x14ac:dyDescent="0.2">
      <c r="A54" s="7">
        <f>'Sheet 2. County Level Data'!$A52</f>
        <v>0</v>
      </c>
      <c r="B54" s="7">
        <f>'Sheet 2. County Level Data'!C52</f>
        <v>0</v>
      </c>
      <c r="C54" s="9" t="e">
        <f t="shared" si="8"/>
        <v>#DIV/0!</v>
      </c>
      <c r="D54" s="12">
        <f>'Sheet 2. County Level Data'!$D52</f>
        <v>0</v>
      </c>
      <c r="E54" s="13" t="e">
        <f t="shared" si="9"/>
        <v>#DIV/0!</v>
      </c>
      <c r="F54" s="12">
        <f>'Sheet 2. County Level Data'!$E52</f>
        <v>0</v>
      </c>
      <c r="G54" s="12">
        <f t="shared" si="13"/>
        <v>0</v>
      </c>
      <c r="H54" s="12">
        <f>'Sheet 2. County Level Data'!$F52</f>
        <v>0</v>
      </c>
      <c r="I54" s="13" t="e">
        <f t="shared" si="14"/>
        <v>#DIV/0!</v>
      </c>
      <c r="J54" s="14">
        <f t="shared" si="15"/>
        <v>0</v>
      </c>
      <c r="K54" s="14">
        <f t="shared" si="16"/>
        <v>0</v>
      </c>
      <c r="L54" s="12">
        <f>'Sheet 2. County Level Data'!$G52</f>
        <v>0</v>
      </c>
      <c r="M54" s="12">
        <f t="shared" si="17"/>
        <v>0</v>
      </c>
      <c r="N54" s="12">
        <f t="shared" si="18"/>
        <v>0</v>
      </c>
      <c r="O54" s="12">
        <f>'Sheet 2. County Level Data'!$H52</f>
        <v>0</v>
      </c>
      <c r="P54" s="13" t="e">
        <f t="shared" si="19"/>
        <v>#DIV/0!</v>
      </c>
      <c r="Q54" s="7">
        <f t="shared" si="10"/>
        <v>0</v>
      </c>
      <c r="R54" s="7">
        <f t="shared" si="11"/>
        <v>0</v>
      </c>
      <c r="S54" s="7" t="e">
        <f t="shared" si="12"/>
        <v>#DIV/0!</v>
      </c>
    </row>
    <row r="55" spans="1:19" x14ac:dyDescent="0.2">
      <c r="A55" s="7">
        <f>'Sheet 2. County Level Data'!$A53</f>
        <v>0</v>
      </c>
      <c r="B55" s="7">
        <f>'Sheet 2. County Level Data'!C53</f>
        <v>0</v>
      </c>
      <c r="C55" s="9" t="e">
        <f t="shared" si="8"/>
        <v>#DIV/0!</v>
      </c>
      <c r="D55" s="12">
        <f>'Sheet 2. County Level Data'!$D53</f>
        <v>0</v>
      </c>
      <c r="E55" s="13" t="e">
        <f t="shared" si="9"/>
        <v>#DIV/0!</v>
      </c>
      <c r="F55" s="12">
        <f>'Sheet 2. County Level Data'!$E53</f>
        <v>0</v>
      </c>
      <c r="G55" s="12">
        <f t="shared" si="13"/>
        <v>0</v>
      </c>
      <c r="H55" s="12">
        <f>'Sheet 2. County Level Data'!$F53</f>
        <v>0</v>
      </c>
      <c r="I55" s="13" t="e">
        <f t="shared" si="14"/>
        <v>#DIV/0!</v>
      </c>
      <c r="J55" s="14">
        <f t="shared" si="15"/>
        <v>0</v>
      </c>
      <c r="K55" s="14">
        <f t="shared" si="16"/>
        <v>0</v>
      </c>
      <c r="L55" s="12">
        <f>'Sheet 2. County Level Data'!$G53</f>
        <v>0</v>
      </c>
      <c r="M55" s="12">
        <f t="shared" si="17"/>
        <v>0</v>
      </c>
      <c r="N55" s="12">
        <f t="shared" si="18"/>
        <v>0</v>
      </c>
      <c r="O55" s="12">
        <f>'Sheet 2. County Level Data'!$H53</f>
        <v>0</v>
      </c>
      <c r="P55" s="13" t="e">
        <f t="shared" si="19"/>
        <v>#DIV/0!</v>
      </c>
      <c r="Q55" s="7">
        <f t="shared" si="10"/>
        <v>0</v>
      </c>
      <c r="R55" s="7">
        <f t="shared" si="11"/>
        <v>0</v>
      </c>
      <c r="S55" s="7" t="e">
        <f t="shared" si="12"/>
        <v>#DIV/0!</v>
      </c>
    </row>
    <row r="56" spans="1:19" x14ac:dyDescent="0.2">
      <c r="A56" s="7">
        <f>'Sheet 2. County Level Data'!$A54</f>
        <v>0</v>
      </c>
      <c r="B56" s="7">
        <f>'Sheet 2. County Level Data'!C54</f>
        <v>0</v>
      </c>
      <c r="C56" s="9" t="e">
        <f t="shared" si="8"/>
        <v>#DIV/0!</v>
      </c>
      <c r="D56" s="12">
        <f>'Sheet 2. County Level Data'!$D54</f>
        <v>0</v>
      </c>
      <c r="E56" s="13" t="e">
        <f t="shared" si="9"/>
        <v>#DIV/0!</v>
      </c>
      <c r="F56" s="12">
        <f>'Sheet 2. County Level Data'!$E54</f>
        <v>0</v>
      </c>
      <c r="G56" s="12">
        <f t="shared" si="13"/>
        <v>0</v>
      </c>
      <c r="H56" s="12">
        <f>'Sheet 2. County Level Data'!$F54</f>
        <v>0</v>
      </c>
      <c r="I56" s="13" t="e">
        <f t="shared" si="14"/>
        <v>#DIV/0!</v>
      </c>
      <c r="J56" s="14">
        <f t="shared" si="15"/>
        <v>0</v>
      </c>
      <c r="K56" s="14">
        <f t="shared" si="16"/>
        <v>0</v>
      </c>
      <c r="L56" s="12">
        <f>'Sheet 2. County Level Data'!$G54</f>
        <v>0</v>
      </c>
      <c r="M56" s="12">
        <f t="shared" si="17"/>
        <v>0</v>
      </c>
      <c r="N56" s="12">
        <f t="shared" si="18"/>
        <v>0</v>
      </c>
      <c r="O56" s="12">
        <f>'Sheet 2. County Level Data'!$H54</f>
        <v>0</v>
      </c>
      <c r="P56" s="13" t="e">
        <f t="shared" si="19"/>
        <v>#DIV/0!</v>
      </c>
      <c r="Q56" s="7">
        <f t="shared" si="10"/>
        <v>0</v>
      </c>
      <c r="R56" s="7">
        <f t="shared" si="11"/>
        <v>0</v>
      </c>
      <c r="S56" s="7" t="e">
        <f t="shared" si="12"/>
        <v>#DIV/0!</v>
      </c>
    </row>
    <row r="57" spans="1:19" x14ac:dyDescent="0.2">
      <c r="A57" s="7">
        <f>'Sheet 2. County Level Data'!$A55</f>
        <v>0</v>
      </c>
      <c r="B57" s="7">
        <f>'Sheet 2. County Level Data'!C55</f>
        <v>0</v>
      </c>
      <c r="C57" s="9" t="e">
        <f t="shared" si="8"/>
        <v>#DIV/0!</v>
      </c>
      <c r="D57" s="12">
        <f>'Sheet 2. County Level Data'!$D55</f>
        <v>0</v>
      </c>
      <c r="E57" s="13" t="e">
        <f t="shared" si="9"/>
        <v>#DIV/0!</v>
      </c>
      <c r="F57" s="12">
        <f>'Sheet 2. County Level Data'!$E55</f>
        <v>0</v>
      </c>
      <c r="G57" s="12">
        <f t="shared" si="13"/>
        <v>0</v>
      </c>
      <c r="H57" s="12">
        <f>'Sheet 2. County Level Data'!$F55</f>
        <v>0</v>
      </c>
      <c r="I57" s="13" t="e">
        <f t="shared" si="14"/>
        <v>#DIV/0!</v>
      </c>
      <c r="J57" s="14">
        <f t="shared" si="15"/>
        <v>0</v>
      </c>
      <c r="K57" s="14">
        <f t="shared" si="16"/>
        <v>0</v>
      </c>
      <c r="L57" s="12">
        <f>'Sheet 2. County Level Data'!$G55</f>
        <v>0</v>
      </c>
      <c r="M57" s="12">
        <f t="shared" si="17"/>
        <v>0</v>
      </c>
      <c r="N57" s="12">
        <f t="shared" si="18"/>
        <v>0</v>
      </c>
      <c r="O57" s="12">
        <f>'Sheet 2. County Level Data'!$H55</f>
        <v>0</v>
      </c>
      <c r="P57" s="13" t="e">
        <f t="shared" si="19"/>
        <v>#DIV/0!</v>
      </c>
      <c r="Q57" s="7">
        <f t="shared" si="10"/>
        <v>0</v>
      </c>
      <c r="R57" s="7">
        <f t="shared" si="11"/>
        <v>0</v>
      </c>
      <c r="S57" s="7" t="e">
        <f t="shared" si="12"/>
        <v>#DIV/0!</v>
      </c>
    </row>
    <row r="58" spans="1:19" x14ac:dyDescent="0.2">
      <c r="A58" s="7">
        <f>'Sheet 2. County Level Data'!$A56</f>
        <v>0</v>
      </c>
      <c r="B58" s="7">
        <f>'Sheet 2. County Level Data'!C56</f>
        <v>0</v>
      </c>
      <c r="C58" s="9" t="e">
        <f t="shared" si="8"/>
        <v>#DIV/0!</v>
      </c>
      <c r="D58" s="12">
        <f>'Sheet 2. County Level Data'!$D56</f>
        <v>0</v>
      </c>
      <c r="E58" s="13" t="e">
        <f t="shared" si="9"/>
        <v>#DIV/0!</v>
      </c>
      <c r="F58" s="12">
        <f>'Sheet 2. County Level Data'!$E56</f>
        <v>0</v>
      </c>
      <c r="G58" s="12">
        <f t="shared" si="13"/>
        <v>0</v>
      </c>
      <c r="H58" s="12">
        <f>'Sheet 2. County Level Data'!$F56</f>
        <v>0</v>
      </c>
      <c r="I58" s="13" t="e">
        <f t="shared" si="14"/>
        <v>#DIV/0!</v>
      </c>
      <c r="J58" s="14">
        <f t="shared" si="15"/>
        <v>0</v>
      </c>
      <c r="K58" s="14">
        <f t="shared" si="16"/>
        <v>0</v>
      </c>
      <c r="L58" s="12">
        <f>'Sheet 2. County Level Data'!$G56</f>
        <v>0</v>
      </c>
      <c r="M58" s="12">
        <f t="shared" si="17"/>
        <v>0</v>
      </c>
      <c r="N58" s="12">
        <f t="shared" si="18"/>
        <v>0</v>
      </c>
      <c r="O58" s="12">
        <f>'Sheet 2. County Level Data'!$H56</f>
        <v>0</v>
      </c>
      <c r="P58" s="13" t="e">
        <f t="shared" si="19"/>
        <v>#DIV/0!</v>
      </c>
      <c r="Q58" s="7">
        <f t="shared" si="10"/>
        <v>0</v>
      </c>
      <c r="R58" s="7">
        <f t="shared" si="11"/>
        <v>0</v>
      </c>
      <c r="S58" s="7" t="e">
        <f t="shared" si="12"/>
        <v>#DIV/0!</v>
      </c>
    </row>
    <row r="59" spans="1:19" x14ac:dyDescent="0.2">
      <c r="A59" s="7">
        <f>'Sheet 2. County Level Data'!$A57</f>
        <v>0</v>
      </c>
      <c r="B59" s="7">
        <f>'Sheet 2. County Level Data'!C57</f>
        <v>0</v>
      </c>
      <c r="C59" s="9" t="e">
        <f t="shared" si="8"/>
        <v>#DIV/0!</v>
      </c>
      <c r="D59" s="12">
        <f>'Sheet 2. County Level Data'!$D57</f>
        <v>0</v>
      </c>
      <c r="E59" s="13" t="e">
        <f t="shared" si="9"/>
        <v>#DIV/0!</v>
      </c>
      <c r="F59" s="12">
        <f>'Sheet 2. County Level Data'!$E57</f>
        <v>0</v>
      </c>
      <c r="G59" s="12">
        <f t="shared" si="13"/>
        <v>0</v>
      </c>
      <c r="H59" s="12">
        <f>'Sheet 2. County Level Data'!$F57</f>
        <v>0</v>
      </c>
      <c r="I59" s="13" t="e">
        <f t="shared" si="14"/>
        <v>#DIV/0!</v>
      </c>
      <c r="J59" s="14">
        <f t="shared" si="15"/>
        <v>0</v>
      </c>
      <c r="K59" s="14">
        <f t="shared" si="16"/>
        <v>0</v>
      </c>
      <c r="L59" s="12">
        <f>'Sheet 2. County Level Data'!$G57</f>
        <v>0</v>
      </c>
      <c r="M59" s="12">
        <f t="shared" si="17"/>
        <v>0</v>
      </c>
      <c r="N59" s="12">
        <f t="shared" si="18"/>
        <v>0</v>
      </c>
      <c r="O59" s="12">
        <f>'Sheet 2. County Level Data'!$H57</f>
        <v>0</v>
      </c>
      <c r="P59" s="13" t="e">
        <f t="shared" si="19"/>
        <v>#DIV/0!</v>
      </c>
      <c r="Q59" s="7">
        <f t="shared" si="10"/>
        <v>0</v>
      </c>
      <c r="R59" s="7">
        <f t="shared" si="11"/>
        <v>0</v>
      </c>
      <c r="S59" s="7" t="e">
        <f t="shared" si="12"/>
        <v>#DIV/0!</v>
      </c>
    </row>
    <row r="60" spans="1:19" x14ac:dyDescent="0.2">
      <c r="A60" s="7">
        <f>'Sheet 2. County Level Data'!$A58</f>
        <v>0</v>
      </c>
      <c r="B60" s="7">
        <f>'Sheet 2. County Level Data'!C58</f>
        <v>0</v>
      </c>
      <c r="C60" s="9" t="e">
        <f t="shared" si="8"/>
        <v>#DIV/0!</v>
      </c>
      <c r="D60" s="12">
        <f>'Sheet 2. County Level Data'!$D58</f>
        <v>0</v>
      </c>
      <c r="E60" s="13" t="e">
        <f t="shared" si="9"/>
        <v>#DIV/0!</v>
      </c>
      <c r="F60" s="12">
        <f>'Sheet 2. County Level Data'!$E58</f>
        <v>0</v>
      </c>
      <c r="G60" s="12">
        <f t="shared" si="13"/>
        <v>0</v>
      </c>
      <c r="H60" s="12">
        <f>'Sheet 2. County Level Data'!$F58</f>
        <v>0</v>
      </c>
      <c r="I60" s="13" t="e">
        <f t="shared" si="14"/>
        <v>#DIV/0!</v>
      </c>
      <c r="J60" s="14">
        <f t="shared" si="15"/>
        <v>0</v>
      </c>
      <c r="K60" s="14">
        <f t="shared" si="16"/>
        <v>0</v>
      </c>
      <c r="L60" s="12">
        <f>'Sheet 2. County Level Data'!$G58</f>
        <v>0</v>
      </c>
      <c r="M60" s="12">
        <f t="shared" si="17"/>
        <v>0</v>
      </c>
      <c r="N60" s="12">
        <f t="shared" si="18"/>
        <v>0</v>
      </c>
      <c r="O60" s="12">
        <f>'Sheet 2. County Level Data'!$H58</f>
        <v>0</v>
      </c>
      <c r="P60" s="13" t="e">
        <f t="shared" si="19"/>
        <v>#DIV/0!</v>
      </c>
      <c r="Q60" s="7">
        <f t="shared" si="10"/>
        <v>0</v>
      </c>
      <c r="R60" s="7">
        <f t="shared" si="11"/>
        <v>0</v>
      </c>
      <c r="S60" s="7" t="e">
        <f t="shared" si="12"/>
        <v>#DIV/0!</v>
      </c>
    </row>
    <row r="61" spans="1:19" x14ac:dyDescent="0.2">
      <c r="A61" s="7">
        <f>'Sheet 2. County Level Data'!$A59</f>
        <v>0</v>
      </c>
      <c r="B61" s="7">
        <f>'Sheet 2. County Level Data'!C59</f>
        <v>0</v>
      </c>
      <c r="C61" s="9" t="e">
        <f t="shared" si="8"/>
        <v>#DIV/0!</v>
      </c>
      <c r="D61" s="12">
        <f>'Sheet 2. County Level Data'!$D59</f>
        <v>0</v>
      </c>
      <c r="E61" s="13" t="e">
        <f t="shared" si="9"/>
        <v>#DIV/0!</v>
      </c>
      <c r="F61" s="12">
        <f>'Sheet 2. County Level Data'!$E59</f>
        <v>0</v>
      </c>
      <c r="G61" s="12">
        <f t="shared" si="13"/>
        <v>0</v>
      </c>
      <c r="H61" s="12">
        <f>'Sheet 2. County Level Data'!$F59</f>
        <v>0</v>
      </c>
      <c r="I61" s="13" t="e">
        <f t="shared" si="14"/>
        <v>#DIV/0!</v>
      </c>
      <c r="J61" s="14">
        <f t="shared" si="15"/>
        <v>0</v>
      </c>
      <c r="K61" s="14">
        <f t="shared" si="16"/>
        <v>0</v>
      </c>
      <c r="L61" s="12">
        <f>'Sheet 2. County Level Data'!$G59</f>
        <v>0</v>
      </c>
      <c r="M61" s="12">
        <f t="shared" si="17"/>
        <v>0</v>
      </c>
      <c r="N61" s="12">
        <f t="shared" si="18"/>
        <v>0</v>
      </c>
      <c r="O61" s="12">
        <f>'Sheet 2. County Level Data'!$H59</f>
        <v>0</v>
      </c>
      <c r="P61" s="13" t="e">
        <f t="shared" si="19"/>
        <v>#DIV/0!</v>
      </c>
      <c r="Q61" s="7">
        <f t="shared" si="10"/>
        <v>0</v>
      </c>
      <c r="R61" s="7">
        <f t="shared" si="11"/>
        <v>0</v>
      </c>
      <c r="S61" s="7" t="e">
        <f t="shared" si="12"/>
        <v>#DIV/0!</v>
      </c>
    </row>
    <row r="62" spans="1:19" x14ac:dyDescent="0.2">
      <c r="A62" s="7">
        <f>'Sheet 2. County Level Data'!$A60</f>
        <v>0</v>
      </c>
      <c r="B62" s="7">
        <f>'Sheet 2. County Level Data'!C60</f>
        <v>0</v>
      </c>
      <c r="C62" s="9" t="e">
        <f t="shared" si="8"/>
        <v>#DIV/0!</v>
      </c>
      <c r="D62" s="12">
        <f>'Sheet 2. County Level Data'!$D60</f>
        <v>0</v>
      </c>
      <c r="E62" s="13" t="e">
        <f t="shared" si="9"/>
        <v>#DIV/0!</v>
      </c>
      <c r="F62" s="12">
        <f>'Sheet 2. County Level Data'!$E60</f>
        <v>0</v>
      </c>
      <c r="G62" s="12">
        <f t="shared" si="13"/>
        <v>0</v>
      </c>
      <c r="H62" s="12">
        <f>'Sheet 2. County Level Data'!$F60</f>
        <v>0</v>
      </c>
      <c r="I62" s="13" t="e">
        <f t="shared" si="14"/>
        <v>#DIV/0!</v>
      </c>
      <c r="J62" s="14">
        <f t="shared" si="15"/>
        <v>0</v>
      </c>
      <c r="K62" s="14">
        <f t="shared" si="16"/>
        <v>0</v>
      </c>
      <c r="L62" s="12">
        <f>'Sheet 2. County Level Data'!$G60</f>
        <v>0</v>
      </c>
      <c r="M62" s="12">
        <f t="shared" si="17"/>
        <v>0</v>
      </c>
      <c r="N62" s="12">
        <f t="shared" si="18"/>
        <v>0</v>
      </c>
      <c r="O62" s="12">
        <f>'Sheet 2. County Level Data'!$H60</f>
        <v>0</v>
      </c>
      <c r="P62" s="13" t="e">
        <f t="shared" si="19"/>
        <v>#DIV/0!</v>
      </c>
      <c r="Q62" s="7">
        <f t="shared" si="10"/>
        <v>0</v>
      </c>
      <c r="R62" s="7">
        <f t="shared" si="11"/>
        <v>0</v>
      </c>
      <c r="S62" s="7" t="e">
        <f t="shared" si="12"/>
        <v>#DIV/0!</v>
      </c>
    </row>
    <row r="63" spans="1:19" x14ac:dyDescent="0.2">
      <c r="A63" s="7">
        <f>'Sheet 2. County Level Data'!$A61</f>
        <v>0</v>
      </c>
      <c r="B63" s="7">
        <f>'Sheet 2. County Level Data'!C61</f>
        <v>0</v>
      </c>
      <c r="C63" s="9" t="e">
        <f t="shared" si="8"/>
        <v>#DIV/0!</v>
      </c>
      <c r="D63" s="12">
        <f>'Sheet 2. County Level Data'!$D61</f>
        <v>0</v>
      </c>
      <c r="E63" s="13" t="e">
        <f t="shared" si="9"/>
        <v>#DIV/0!</v>
      </c>
      <c r="F63" s="12">
        <f>'Sheet 2. County Level Data'!$E61</f>
        <v>0</v>
      </c>
      <c r="G63" s="12">
        <f t="shared" si="13"/>
        <v>0</v>
      </c>
      <c r="H63" s="12">
        <f>'Sheet 2. County Level Data'!$F61</f>
        <v>0</v>
      </c>
      <c r="I63" s="13" t="e">
        <f t="shared" si="14"/>
        <v>#DIV/0!</v>
      </c>
      <c r="J63" s="14">
        <f t="shared" si="15"/>
        <v>0</v>
      </c>
      <c r="K63" s="14">
        <f t="shared" si="16"/>
        <v>0</v>
      </c>
      <c r="L63" s="12">
        <f>'Sheet 2. County Level Data'!$G61</f>
        <v>0</v>
      </c>
      <c r="M63" s="12">
        <f t="shared" si="17"/>
        <v>0</v>
      </c>
      <c r="N63" s="12">
        <f t="shared" si="18"/>
        <v>0</v>
      </c>
      <c r="O63" s="12">
        <f>'Sheet 2. County Level Data'!$H61</f>
        <v>0</v>
      </c>
      <c r="P63" s="13" t="e">
        <f t="shared" si="19"/>
        <v>#DIV/0!</v>
      </c>
      <c r="Q63" s="7">
        <f t="shared" si="10"/>
        <v>0</v>
      </c>
      <c r="R63" s="7">
        <f t="shared" si="11"/>
        <v>0</v>
      </c>
      <c r="S63" s="7" t="e">
        <f t="shared" si="12"/>
        <v>#DIV/0!</v>
      </c>
    </row>
    <row r="64" spans="1:19" x14ac:dyDescent="0.2">
      <c r="A64" s="7">
        <f>'Sheet 2. County Level Data'!$A62</f>
        <v>0</v>
      </c>
      <c r="B64" s="7">
        <f>'Sheet 2. County Level Data'!C62</f>
        <v>0</v>
      </c>
      <c r="C64" s="9" t="e">
        <f t="shared" si="8"/>
        <v>#DIV/0!</v>
      </c>
      <c r="D64" s="12">
        <f>'Sheet 2. County Level Data'!$D62</f>
        <v>0</v>
      </c>
      <c r="E64" s="13" t="e">
        <f t="shared" si="9"/>
        <v>#DIV/0!</v>
      </c>
      <c r="F64" s="12">
        <f>'Sheet 2. County Level Data'!$E62</f>
        <v>0</v>
      </c>
      <c r="G64" s="12">
        <f t="shared" si="13"/>
        <v>0</v>
      </c>
      <c r="H64" s="12">
        <f>'Sheet 2. County Level Data'!$F62</f>
        <v>0</v>
      </c>
      <c r="I64" s="13" t="e">
        <f t="shared" si="14"/>
        <v>#DIV/0!</v>
      </c>
      <c r="J64" s="14">
        <f t="shared" si="15"/>
        <v>0</v>
      </c>
      <c r="K64" s="14">
        <f t="shared" si="16"/>
        <v>0</v>
      </c>
      <c r="L64" s="12">
        <f>'Sheet 2. County Level Data'!$G62</f>
        <v>0</v>
      </c>
      <c r="M64" s="12">
        <f t="shared" si="17"/>
        <v>0</v>
      </c>
      <c r="N64" s="12">
        <f t="shared" si="18"/>
        <v>0</v>
      </c>
      <c r="O64" s="12">
        <f>'Sheet 2. County Level Data'!$H62</f>
        <v>0</v>
      </c>
      <c r="P64" s="13" t="e">
        <f t="shared" si="19"/>
        <v>#DIV/0!</v>
      </c>
      <c r="Q64" s="7">
        <f t="shared" si="10"/>
        <v>0</v>
      </c>
      <c r="R64" s="7">
        <f t="shared" si="11"/>
        <v>0</v>
      </c>
      <c r="S64" s="7" t="e">
        <f t="shared" si="12"/>
        <v>#DIV/0!</v>
      </c>
    </row>
    <row r="65" spans="1:19" x14ac:dyDescent="0.2">
      <c r="A65" s="7">
        <f>'Sheet 2. County Level Data'!$A63</f>
        <v>0</v>
      </c>
      <c r="B65" s="7">
        <f>'Sheet 2. County Level Data'!C63</f>
        <v>0</v>
      </c>
      <c r="C65" s="9" t="e">
        <f t="shared" si="8"/>
        <v>#DIV/0!</v>
      </c>
      <c r="D65" s="12">
        <f>'Sheet 2. County Level Data'!$D63</f>
        <v>0</v>
      </c>
      <c r="E65" s="13" t="e">
        <f t="shared" si="9"/>
        <v>#DIV/0!</v>
      </c>
      <c r="F65" s="12">
        <f>'Sheet 2. County Level Data'!$E63</f>
        <v>0</v>
      </c>
      <c r="G65" s="12">
        <f t="shared" si="13"/>
        <v>0</v>
      </c>
      <c r="H65" s="12">
        <f>'Sheet 2. County Level Data'!$F63</f>
        <v>0</v>
      </c>
      <c r="I65" s="13" t="e">
        <f t="shared" si="14"/>
        <v>#DIV/0!</v>
      </c>
      <c r="J65" s="14">
        <f t="shared" si="15"/>
        <v>0</v>
      </c>
      <c r="K65" s="14">
        <f t="shared" si="16"/>
        <v>0</v>
      </c>
      <c r="L65" s="12">
        <f>'Sheet 2. County Level Data'!$G63</f>
        <v>0</v>
      </c>
      <c r="M65" s="12">
        <f t="shared" si="17"/>
        <v>0</v>
      </c>
      <c r="N65" s="12">
        <f t="shared" si="18"/>
        <v>0</v>
      </c>
      <c r="O65" s="12">
        <f>'Sheet 2. County Level Data'!$H63</f>
        <v>0</v>
      </c>
      <c r="P65" s="13" t="e">
        <f t="shared" si="19"/>
        <v>#DIV/0!</v>
      </c>
      <c r="Q65" s="7">
        <f t="shared" si="10"/>
        <v>0</v>
      </c>
      <c r="R65" s="7">
        <f t="shared" si="11"/>
        <v>0</v>
      </c>
      <c r="S65" s="7" t="e">
        <f t="shared" si="12"/>
        <v>#DIV/0!</v>
      </c>
    </row>
    <row r="66" spans="1:19" x14ac:dyDescent="0.2">
      <c r="A66" s="7">
        <f>'Sheet 2. County Level Data'!$A64</f>
        <v>0</v>
      </c>
      <c r="B66" s="7">
        <f>'Sheet 2. County Level Data'!C64</f>
        <v>0</v>
      </c>
      <c r="C66" s="9" t="e">
        <f t="shared" si="8"/>
        <v>#DIV/0!</v>
      </c>
      <c r="D66" s="12">
        <f>'Sheet 2. County Level Data'!$D64</f>
        <v>0</v>
      </c>
      <c r="E66" s="13" t="e">
        <f t="shared" si="9"/>
        <v>#DIV/0!</v>
      </c>
      <c r="F66" s="12">
        <f>'Sheet 2. County Level Data'!$E64</f>
        <v>0</v>
      </c>
      <c r="G66" s="12">
        <f t="shared" si="13"/>
        <v>0</v>
      </c>
      <c r="H66" s="12">
        <f>'Sheet 2. County Level Data'!$F64</f>
        <v>0</v>
      </c>
      <c r="I66" s="13" t="e">
        <f t="shared" si="14"/>
        <v>#DIV/0!</v>
      </c>
      <c r="J66" s="14">
        <f t="shared" si="15"/>
        <v>0</v>
      </c>
      <c r="K66" s="14">
        <f t="shared" si="16"/>
        <v>0</v>
      </c>
      <c r="L66" s="12">
        <f>'Sheet 2. County Level Data'!$G64</f>
        <v>0</v>
      </c>
      <c r="M66" s="12">
        <f t="shared" si="17"/>
        <v>0</v>
      </c>
      <c r="N66" s="12">
        <f t="shared" si="18"/>
        <v>0</v>
      </c>
      <c r="O66" s="12">
        <f>'Sheet 2. County Level Data'!$H64</f>
        <v>0</v>
      </c>
      <c r="P66" s="13" t="e">
        <f t="shared" si="19"/>
        <v>#DIV/0!</v>
      </c>
      <c r="Q66" s="7">
        <f t="shared" si="10"/>
        <v>0</v>
      </c>
      <c r="R66" s="7">
        <f t="shared" si="11"/>
        <v>0</v>
      </c>
      <c r="S66" s="7" t="e">
        <f t="shared" si="12"/>
        <v>#DIV/0!</v>
      </c>
    </row>
    <row r="67" spans="1:19" x14ac:dyDescent="0.2">
      <c r="A67" s="7">
        <f>'Sheet 2. County Level Data'!$A65</f>
        <v>0</v>
      </c>
      <c r="B67" s="7">
        <f>'Sheet 2. County Level Data'!C65</f>
        <v>0</v>
      </c>
      <c r="C67" s="9" t="e">
        <f t="shared" si="8"/>
        <v>#DIV/0!</v>
      </c>
      <c r="D67" s="12">
        <f>'Sheet 2. County Level Data'!$D65</f>
        <v>0</v>
      </c>
      <c r="E67" s="13" t="e">
        <f t="shared" si="9"/>
        <v>#DIV/0!</v>
      </c>
      <c r="F67" s="12">
        <f>'Sheet 2. County Level Data'!$E65</f>
        <v>0</v>
      </c>
      <c r="G67" s="12">
        <f t="shared" si="13"/>
        <v>0</v>
      </c>
      <c r="H67" s="12">
        <f>'Sheet 2. County Level Data'!$F65</f>
        <v>0</v>
      </c>
      <c r="I67" s="13" t="e">
        <f t="shared" si="14"/>
        <v>#DIV/0!</v>
      </c>
      <c r="J67" s="14">
        <f t="shared" si="15"/>
        <v>0</v>
      </c>
      <c r="K67" s="14">
        <f t="shared" si="16"/>
        <v>0</v>
      </c>
      <c r="L67" s="12">
        <f>'Sheet 2. County Level Data'!$G65</f>
        <v>0</v>
      </c>
      <c r="M67" s="12">
        <f t="shared" si="17"/>
        <v>0</v>
      </c>
      <c r="N67" s="12">
        <f t="shared" si="18"/>
        <v>0</v>
      </c>
      <c r="O67" s="12">
        <f>'Sheet 2. County Level Data'!$H65</f>
        <v>0</v>
      </c>
      <c r="P67" s="13" t="e">
        <f t="shared" si="19"/>
        <v>#DIV/0!</v>
      </c>
      <c r="Q67" s="7">
        <f t="shared" si="10"/>
        <v>0</v>
      </c>
      <c r="R67" s="7">
        <f t="shared" si="11"/>
        <v>0</v>
      </c>
      <c r="S67" s="7" t="e">
        <f t="shared" si="12"/>
        <v>#DIV/0!</v>
      </c>
    </row>
    <row r="68" spans="1:19" x14ac:dyDescent="0.2">
      <c r="A68" s="7">
        <f>'Sheet 2. County Level Data'!$A66</f>
        <v>0</v>
      </c>
      <c r="B68" s="7">
        <f>'Sheet 2. County Level Data'!C66</f>
        <v>0</v>
      </c>
      <c r="C68" s="9" t="e">
        <f t="shared" si="8"/>
        <v>#DIV/0!</v>
      </c>
      <c r="D68" s="12">
        <f>'Sheet 2. County Level Data'!$D66</f>
        <v>0</v>
      </c>
      <c r="E68" s="13" t="e">
        <f t="shared" si="9"/>
        <v>#DIV/0!</v>
      </c>
      <c r="F68" s="12">
        <f>'Sheet 2. County Level Data'!$E66</f>
        <v>0</v>
      </c>
      <c r="G68" s="12">
        <f t="shared" ref="G68:G99" si="20">IF(F68&gt;=4,1,0)</f>
        <v>0</v>
      </c>
      <c r="H68" s="12">
        <f>'Sheet 2. County Level Data'!$F66</f>
        <v>0</v>
      </c>
      <c r="I68" s="13" t="e">
        <f t="shared" ref="I68:I99" si="21">$H68/$B68</f>
        <v>#DIV/0!</v>
      </c>
      <c r="J68" s="14">
        <f t="shared" ref="J68:J99" si="22">IF(G68=0,H68,0)</f>
        <v>0</v>
      </c>
      <c r="K68" s="14">
        <f t="shared" ref="K68:K99" si="23">IF(G68=1,H68,0)</f>
        <v>0</v>
      </c>
      <c r="L68" s="12">
        <f>'Sheet 2. County Level Data'!$G66</f>
        <v>0</v>
      </c>
      <c r="M68" s="12">
        <f t="shared" ref="M68:M99" si="24">IF(G68=0,L68,0)</f>
        <v>0</v>
      </c>
      <c r="N68" s="12">
        <f t="shared" ref="N68:N99" si="25">IF(G68=1,L68,0)</f>
        <v>0</v>
      </c>
      <c r="O68" s="12">
        <f>'Sheet 2. County Level Data'!$H66</f>
        <v>0</v>
      </c>
      <c r="P68" s="13" t="e">
        <f t="shared" ref="P68:P99" si="26">$O68/$B68</f>
        <v>#DIV/0!</v>
      </c>
      <c r="Q68" s="7">
        <f t="shared" si="10"/>
        <v>0</v>
      </c>
      <c r="R68" s="7">
        <f t="shared" si="11"/>
        <v>0</v>
      </c>
      <c r="S68" s="7" t="e">
        <f t="shared" si="12"/>
        <v>#DIV/0!</v>
      </c>
    </row>
    <row r="69" spans="1:19" x14ac:dyDescent="0.2">
      <c r="A69" s="7">
        <f>'Sheet 2. County Level Data'!$A67</f>
        <v>0</v>
      </c>
      <c r="B69" s="7">
        <f>'Sheet 2. County Level Data'!C67</f>
        <v>0</v>
      </c>
      <c r="C69" s="9" t="e">
        <f t="shared" ref="C69:C132" si="27">$B69/$B$2</f>
        <v>#DIV/0!</v>
      </c>
      <c r="D69" s="12">
        <f>'Sheet 2. County Level Data'!$D67</f>
        <v>0</v>
      </c>
      <c r="E69" s="13" t="e">
        <f t="shared" ref="E69:E132" si="28">D69/B69</f>
        <v>#DIV/0!</v>
      </c>
      <c r="F69" s="12">
        <f>'Sheet 2. County Level Data'!$E67</f>
        <v>0</v>
      </c>
      <c r="G69" s="12">
        <f t="shared" si="20"/>
        <v>0</v>
      </c>
      <c r="H69" s="12">
        <f>'Sheet 2. County Level Data'!$F67</f>
        <v>0</v>
      </c>
      <c r="I69" s="13" t="e">
        <f t="shared" si="21"/>
        <v>#DIV/0!</v>
      </c>
      <c r="J69" s="14">
        <f t="shared" si="22"/>
        <v>0</v>
      </c>
      <c r="K69" s="14">
        <f t="shared" si="23"/>
        <v>0</v>
      </c>
      <c r="L69" s="12">
        <f>'Sheet 2. County Level Data'!$G67</f>
        <v>0</v>
      </c>
      <c r="M69" s="12">
        <f t="shared" si="24"/>
        <v>0</v>
      </c>
      <c r="N69" s="12">
        <f t="shared" si="25"/>
        <v>0</v>
      </c>
      <c r="O69" s="12">
        <f>'Sheet 2. County Level Data'!$H67</f>
        <v>0</v>
      </c>
      <c r="P69" s="13" t="e">
        <f t="shared" si="26"/>
        <v>#DIV/0!</v>
      </c>
      <c r="Q69" s="7">
        <f t="shared" ref="Q69:Q132" si="29">IF(G69=0,O69,0)</f>
        <v>0</v>
      </c>
      <c r="R69" s="7">
        <f t="shared" ref="R69:R132" si="30">IF(G69=1,O69,0)</f>
        <v>0</v>
      </c>
      <c r="S69" s="7" t="e">
        <f t="shared" ref="S69:S132" si="31">D69/B69</f>
        <v>#DIV/0!</v>
      </c>
    </row>
    <row r="70" spans="1:19" x14ac:dyDescent="0.2">
      <c r="A70" s="7">
        <f>'Sheet 2. County Level Data'!$A68</f>
        <v>0</v>
      </c>
      <c r="B70" s="7">
        <f>'Sheet 2. County Level Data'!C68</f>
        <v>0</v>
      </c>
      <c r="C70" s="9" t="e">
        <f t="shared" si="27"/>
        <v>#DIV/0!</v>
      </c>
      <c r="D70" s="12">
        <f>'Sheet 2. County Level Data'!$D68</f>
        <v>0</v>
      </c>
      <c r="E70" s="13" t="e">
        <f t="shared" si="28"/>
        <v>#DIV/0!</v>
      </c>
      <c r="F70" s="12">
        <f>'Sheet 2. County Level Data'!$E68</f>
        <v>0</v>
      </c>
      <c r="G70" s="12">
        <f t="shared" si="20"/>
        <v>0</v>
      </c>
      <c r="H70" s="12">
        <f>'Sheet 2. County Level Data'!$F68</f>
        <v>0</v>
      </c>
      <c r="I70" s="13" t="e">
        <f t="shared" si="21"/>
        <v>#DIV/0!</v>
      </c>
      <c r="J70" s="14">
        <f t="shared" si="22"/>
        <v>0</v>
      </c>
      <c r="K70" s="14">
        <f t="shared" si="23"/>
        <v>0</v>
      </c>
      <c r="L70" s="12">
        <f>'Sheet 2. County Level Data'!$G68</f>
        <v>0</v>
      </c>
      <c r="M70" s="12">
        <f t="shared" si="24"/>
        <v>0</v>
      </c>
      <c r="N70" s="12">
        <f t="shared" si="25"/>
        <v>0</v>
      </c>
      <c r="O70" s="12">
        <f>'Sheet 2. County Level Data'!$H68</f>
        <v>0</v>
      </c>
      <c r="P70" s="13" t="e">
        <f t="shared" si="26"/>
        <v>#DIV/0!</v>
      </c>
      <c r="Q70" s="7">
        <f t="shared" si="29"/>
        <v>0</v>
      </c>
      <c r="R70" s="7">
        <f t="shared" si="30"/>
        <v>0</v>
      </c>
      <c r="S70" s="7" t="e">
        <f t="shared" si="31"/>
        <v>#DIV/0!</v>
      </c>
    </row>
    <row r="71" spans="1:19" x14ac:dyDescent="0.2">
      <c r="A71" s="7">
        <f>'Sheet 2. County Level Data'!$A69</f>
        <v>0</v>
      </c>
      <c r="B71" s="7">
        <f>'Sheet 2. County Level Data'!C69</f>
        <v>0</v>
      </c>
      <c r="C71" s="9" t="e">
        <f t="shared" si="27"/>
        <v>#DIV/0!</v>
      </c>
      <c r="D71" s="12">
        <f>'Sheet 2. County Level Data'!$D69</f>
        <v>0</v>
      </c>
      <c r="E71" s="13" t="e">
        <f t="shared" si="28"/>
        <v>#DIV/0!</v>
      </c>
      <c r="F71" s="12">
        <f>'Sheet 2. County Level Data'!$E69</f>
        <v>0</v>
      </c>
      <c r="G71" s="12">
        <f t="shared" si="20"/>
        <v>0</v>
      </c>
      <c r="H71" s="12">
        <f>'Sheet 2. County Level Data'!$F69</f>
        <v>0</v>
      </c>
      <c r="I71" s="13" t="e">
        <f t="shared" si="21"/>
        <v>#DIV/0!</v>
      </c>
      <c r="J71" s="14">
        <f t="shared" si="22"/>
        <v>0</v>
      </c>
      <c r="K71" s="14">
        <f t="shared" si="23"/>
        <v>0</v>
      </c>
      <c r="L71" s="12">
        <f>'Sheet 2. County Level Data'!$G69</f>
        <v>0</v>
      </c>
      <c r="M71" s="12">
        <f t="shared" si="24"/>
        <v>0</v>
      </c>
      <c r="N71" s="12">
        <f t="shared" si="25"/>
        <v>0</v>
      </c>
      <c r="O71" s="12">
        <f>'Sheet 2. County Level Data'!$H69</f>
        <v>0</v>
      </c>
      <c r="P71" s="13" t="e">
        <f t="shared" si="26"/>
        <v>#DIV/0!</v>
      </c>
      <c r="Q71" s="7">
        <f t="shared" si="29"/>
        <v>0</v>
      </c>
      <c r="R71" s="7">
        <f t="shared" si="30"/>
        <v>0</v>
      </c>
      <c r="S71" s="7" t="e">
        <f t="shared" si="31"/>
        <v>#DIV/0!</v>
      </c>
    </row>
    <row r="72" spans="1:19" x14ac:dyDescent="0.2">
      <c r="A72" s="7">
        <f>'Sheet 2. County Level Data'!$A70</f>
        <v>0</v>
      </c>
      <c r="B72" s="7">
        <f>'Sheet 2. County Level Data'!C70</f>
        <v>0</v>
      </c>
      <c r="C72" s="9" t="e">
        <f t="shared" si="27"/>
        <v>#DIV/0!</v>
      </c>
      <c r="D72" s="12">
        <f>'Sheet 2. County Level Data'!$D70</f>
        <v>0</v>
      </c>
      <c r="E72" s="13" t="e">
        <f t="shared" si="28"/>
        <v>#DIV/0!</v>
      </c>
      <c r="F72" s="12">
        <f>'Sheet 2. County Level Data'!$E70</f>
        <v>0</v>
      </c>
      <c r="G72" s="12">
        <f t="shared" si="20"/>
        <v>0</v>
      </c>
      <c r="H72" s="12">
        <f>'Sheet 2. County Level Data'!$F70</f>
        <v>0</v>
      </c>
      <c r="I72" s="13" t="e">
        <f t="shared" si="21"/>
        <v>#DIV/0!</v>
      </c>
      <c r="J72" s="14">
        <f t="shared" si="22"/>
        <v>0</v>
      </c>
      <c r="K72" s="14">
        <f t="shared" si="23"/>
        <v>0</v>
      </c>
      <c r="L72" s="12">
        <f>'Sheet 2. County Level Data'!$G70</f>
        <v>0</v>
      </c>
      <c r="M72" s="12">
        <f t="shared" si="24"/>
        <v>0</v>
      </c>
      <c r="N72" s="12">
        <f t="shared" si="25"/>
        <v>0</v>
      </c>
      <c r="O72" s="12">
        <f>'Sheet 2. County Level Data'!$H70</f>
        <v>0</v>
      </c>
      <c r="P72" s="13" t="e">
        <f t="shared" si="26"/>
        <v>#DIV/0!</v>
      </c>
      <c r="Q72" s="7">
        <f t="shared" si="29"/>
        <v>0</v>
      </c>
      <c r="R72" s="7">
        <f t="shared" si="30"/>
        <v>0</v>
      </c>
      <c r="S72" s="7" t="e">
        <f t="shared" si="31"/>
        <v>#DIV/0!</v>
      </c>
    </row>
    <row r="73" spans="1:19" x14ac:dyDescent="0.2">
      <c r="A73" s="7">
        <f>'Sheet 2. County Level Data'!$A71</f>
        <v>0</v>
      </c>
      <c r="B73" s="7">
        <f>'Sheet 2. County Level Data'!C71</f>
        <v>0</v>
      </c>
      <c r="C73" s="9" t="e">
        <f t="shared" si="27"/>
        <v>#DIV/0!</v>
      </c>
      <c r="D73" s="12">
        <f>'Sheet 2. County Level Data'!$D71</f>
        <v>0</v>
      </c>
      <c r="E73" s="13" t="e">
        <f t="shared" si="28"/>
        <v>#DIV/0!</v>
      </c>
      <c r="F73" s="12">
        <f>'Sheet 2. County Level Data'!$E71</f>
        <v>0</v>
      </c>
      <c r="G73" s="12">
        <f t="shared" si="20"/>
        <v>0</v>
      </c>
      <c r="H73" s="12">
        <f>'Sheet 2. County Level Data'!$F71</f>
        <v>0</v>
      </c>
      <c r="I73" s="13" t="e">
        <f t="shared" si="21"/>
        <v>#DIV/0!</v>
      </c>
      <c r="J73" s="14">
        <f t="shared" si="22"/>
        <v>0</v>
      </c>
      <c r="K73" s="14">
        <f t="shared" si="23"/>
        <v>0</v>
      </c>
      <c r="L73" s="12">
        <f>'Sheet 2. County Level Data'!$G71</f>
        <v>0</v>
      </c>
      <c r="M73" s="12">
        <f t="shared" si="24"/>
        <v>0</v>
      </c>
      <c r="N73" s="12">
        <f t="shared" si="25"/>
        <v>0</v>
      </c>
      <c r="O73" s="12">
        <f>'Sheet 2. County Level Data'!$H71</f>
        <v>0</v>
      </c>
      <c r="P73" s="13" t="e">
        <f t="shared" si="26"/>
        <v>#DIV/0!</v>
      </c>
      <c r="Q73" s="7">
        <f t="shared" si="29"/>
        <v>0</v>
      </c>
      <c r="R73" s="7">
        <f t="shared" si="30"/>
        <v>0</v>
      </c>
      <c r="S73" s="7" t="e">
        <f t="shared" si="31"/>
        <v>#DIV/0!</v>
      </c>
    </row>
    <row r="74" spans="1:19" x14ac:dyDescent="0.2">
      <c r="A74" s="7">
        <f>'Sheet 2. County Level Data'!$A72</f>
        <v>0</v>
      </c>
      <c r="B74" s="7">
        <f>'Sheet 2. County Level Data'!C72</f>
        <v>0</v>
      </c>
      <c r="C74" s="9" t="e">
        <f t="shared" si="27"/>
        <v>#DIV/0!</v>
      </c>
      <c r="D74" s="12">
        <f>'Sheet 2. County Level Data'!$D72</f>
        <v>0</v>
      </c>
      <c r="E74" s="13" t="e">
        <f t="shared" si="28"/>
        <v>#DIV/0!</v>
      </c>
      <c r="F74" s="12">
        <f>'Sheet 2. County Level Data'!$E72</f>
        <v>0</v>
      </c>
      <c r="G74" s="12">
        <f t="shared" si="20"/>
        <v>0</v>
      </c>
      <c r="H74" s="12">
        <f>'Sheet 2. County Level Data'!$F72</f>
        <v>0</v>
      </c>
      <c r="I74" s="13" t="e">
        <f t="shared" si="21"/>
        <v>#DIV/0!</v>
      </c>
      <c r="J74" s="14">
        <f t="shared" si="22"/>
        <v>0</v>
      </c>
      <c r="K74" s="14">
        <f t="shared" si="23"/>
        <v>0</v>
      </c>
      <c r="L74" s="12">
        <f>'Sheet 2. County Level Data'!$G72</f>
        <v>0</v>
      </c>
      <c r="M74" s="12">
        <f t="shared" si="24"/>
        <v>0</v>
      </c>
      <c r="N74" s="12">
        <f t="shared" si="25"/>
        <v>0</v>
      </c>
      <c r="O74" s="12">
        <f>'Sheet 2. County Level Data'!$H72</f>
        <v>0</v>
      </c>
      <c r="P74" s="13" t="e">
        <f t="shared" si="26"/>
        <v>#DIV/0!</v>
      </c>
      <c r="Q74" s="7">
        <f t="shared" si="29"/>
        <v>0</v>
      </c>
      <c r="R74" s="7">
        <f t="shared" si="30"/>
        <v>0</v>
      </c>
      <c r="S74" s="7" t="e">
        <f t="shared" si="31"/>
        <v>#DIV/0!</v>
      </c>
    </row>
    <row r="75" spans="1:19" x14ac:dyDescent="0.2">
      <c r="A75" s="7">
        <f>'Sheet 2. County Level Data'!$A73</f>
        <v>0</v>
      </c>
      <c r="B75" s="7">
        <f>'Sheet 2. County Level Data'!C73</f>
        <v>0</v>
      </c>
      <c r="C75" s="9" t="e">
        <f t="shared" si="27"/>
        <v>#DIV/0!</v>
      </c>
      <c r="D75" s="12">
        <f>'Sheet 2. County Level Data'!$D73</f>
        <v>0</v>
      </c>
      <c r="E75" s="13" t="e">
        <f t="shared" si="28"/>
        <v>#DIV/0!</v>
      </c>
      <c r="F75" s="12">
        <f>'Sheet 2. County Level Data'!$E73</f>
        <v>0</v>
      </c>
      <c r="G75" s="12">
        <f t="shared" si="20"/>
        <v>0</v>
      </c>
      <c r="H75" s="12">
        <f>'Sheet 2. County Level Data'!$F73</f>
        <v>0</v>
      </c>
      <c r="I75" s="13" t="e">
        <f t="shared" si="21"/>
        <v>#DIV/0!</v>
      </c>
      <c r="J75" s="14">
        <f t="shared" si="22"/>
        <v>0</v>
      </c>
      <c r="K75" s="14">
        <f t="shared" si="23"/>
        <v>0</v>
      </c>
      <c r="L75" s="12">
        <f>'Sheet 2. County Level Data'!$G73</f>
        <v>0</v>
      </c>
      <c r="M75" s="12">
        <f t="shared" si="24"/>
        <v>0</v>
      </c>
      <c r="N75" s="12">
        <f t="shared" si="25"/>
        <v>0</v>
      </c>
      <c r="O75" s="12">
        <f>'Sheet 2. County Level Data'!$H73</f>
        <v>0</v>
      </c>
      <c r="P75" s="13" t="e">
        <f t="shared" si="26"/>
        <v>#DIV/0!</v>
      </c>
      <c r="Q75" s="7">
        <f t="shared" si="29"/>
        <v>0</v>
      </c>
      <c r="R75" s="7">
        <f t="shared" si="30"/>
        <v>0</v>
      </c>
      <c r="S75" s="7" t="e">
        <f t="shared" si="31"/>
        <v>#DIV/0!</v>
      </c>
    </row>
    <row r="76" spans="1:19" x14ac:dyDescent="0.2">
      <c r="A76" s="7">
        <f>'Sheet 2. County Level Data'!$A74</f>
        <v>0</v>
      </c>
      <c r="B76" s="7">
        <f>'Sheet 2. County Level Data'!C74</f>
        <v>0</v>
      </c>
      <c r="C76" s="9" t="e">
        <f t="shared" si="27"/>
        <v>#DIV/0!</v>
      </c>
      <c r="D76" s="12">
        <f>'Sheet 2. County Level Data'!$D74</f>
        <v>0</v>
      </c>
      <c r="E76" s="13" t="e">
        <f t="shared" si="28"/>
        <v>#DIV/0!</v>
      </c>
      <c r="F76" s="12">
        <f>'Sheet 2. County Level Data'!$E74</f>
        <v>0</v>
      </c>
      <c r="G76" s="12">
        <f t="shared" si="20"/>
        <v>0</v>
      </c>
      <c r="H76" s="12">
        <f>'Sheet 2. County Level Data'!$F74</f>
        <v>0</v>
      </c>
      <c r="I76" s="13" t="e">
        <f t="shared" si="21"/>
        <v>#DIV/0!</v>
      </c>
      <c r="J76" s="14">
        <f t="shared" si="22"/>
        <v>0</v>
      </c>
      <c r="K76" s="14">
        <f t="shared" si="23"/>
        <v>0</v>
      </c>
      <c r="L76" s="12">
        <f>'Sheet 2. County Level Data'!$G74</f>
        <v>0</v>
      </c>
      <c r="M76" s="12">
        <f t="shared" si="24"/>
        <v>0</v>
      </c>
      <c r="N76" s="12">
        <f t="shared" si="25"/>
        <v>0</v>
      </c>
      <c r="O76" s="12">
        <f>'Sheet 2. County Level Data'!$H74</f>
        <v>0</v>
      </c>
      <c r="P76" s="13" t="e">
        <f t="shared" si="26"/>
        <v>#DIV/0!</v>
      </c>
      <c r="Q76" s="7">
        <f t="shared" si="29"/>
        <v>0</v>
      </c>
      <c r="R76" s="7">
        <f t="shared" si="30"/>
        <v>0</v>
      </c>
      <c r="S76" s="7" t="e">
        <f t="shared" si="31"/>
        <v>#DIV/0!</v>
      </c>
    </row>
    <row r="77" spans="1:19" x14ac:dyDescent="0.2">
      <c r="A77" s="7">
        <f>'Sheet 2. County Level Data'!$A75</f>
        <v>0</v>
      </c>
      <c r="B77" s="7">
        <f>'Sheet 2. County Level Data'!C75</f>
        <v>0</v>
      </c>
      <c r="C77" s="9" t="e">
        <f t="shared" si="27"/>
        <v>#DIV/0!</v>
      </c>
      <c r="D77" s="12">
        <f>'Sheet 2. County Level Data'!$D75</f>
        <v>0</v>
      </c>
      <c r="E77" s="13" t="e">
        <f t="shared" si="28"/>
        <v>#DIV/0!</v>
      </c>
      <c r="F77" s="12">
        <f>'Sheet 2. County Level Data'!$E75</f>
        <v>0</v>
      </c>
      <c r="G77" s="12">
        <f t="shared" si="20"/>
        <v>0</v>
      </c>
      <c r="H77" s="12">
        <f>'Sheet 2. County Level Data'!$F75</f>
        <v>0</v>
      </c>
      <c r="I77" s="13" t="e">
        <f t="shared" si="21"/>
        <v>#DIV/0!</v>
      </c>
      <c r="J77" s="14">
        <f t="shared" si="22"/>
        <v>0</v>
      </c>
      <c r="K77" s="14">
        <f t="shared" si="23"/>
        <v>0</v>
      </c>
      <c r="L77" s="12">
        <f>'Sheet 2. County Level Data'!$G75</f>
        <v>0</v>
      </c>
      <c r="M77" s="12">
        <f t="shared" si="24"/>
        <v>0</v>
      </c>
      <c r="N77" s="12">
        <f t="shared" si="25"/>
        <v>0</v>
      </c>
      <c r="O77" s="12">
        <f>'Sheet 2. County Level Data'!$H75</f>
        <v>0</v>
      </c>
      <c r="P77" s="13" t="e">
        <f t="shared" si="26"/>
        <v>#DIV/0!</v>
      </c>
      <c r="Q77" s="7">
        <f t="shared" si="29"/>
        <v>0</v>
      </c>
      <c r="R77" s="7">
        <f t="shared" si="30"/>
        <v>0</v>
      </c>
      <c r="S77" s="7" t="e">
        <f t="shared" si="31"/>
        <v>#DIV/0!</v>
      </c>
    </row>
    <row r="78" spans="1:19" x14ac:dyDescent="0.2">
      <c r="A78" s="7">
        <f>'Sheet 2. County Level Data'!$A76</f>
        <v>0</v>
      </c>
      <c r="B78" s="7">
        <f>'Sheet 2. County Level Data'!C76</f>
        <v>0</v>
      </c>
      <c r="C78" s="9" t="e">
        <f t="shared" si="27"/>
        <v>#DIV/0!</v>
      </c>
      <c r="D78" s="12">
        <f>'Sheet 2. County Level Data'!$D76</f>
        <v>0</v>
      </c>
      <c r="E78" s="13" t="e">
        <f t="shared" si="28"/>
        <v>#DIV/0!</v>
      </c>
      <c r="F78" s="12">
        <f>'Sheet 2. County Level Data'!$E76</f>
        <v>0</v>
      </c>
      <c r="G78" s="12">
        <f t="shared" si="20"/>
        <v>0</v>
      </c>
      <c r="H78" s="12">
        <f>'Sheet 2. County Level Data'!$F76</f>
        <v>0</v>
      </c>
      <c r="I78" s="13" t="e">
        <f t="shared" si="21"/>
        <v>#DIV/0!</v>
      </c>
      <c r="J78" s="14">
        <f t="shared" si="22"/>
        <v>0</v>
      </c>
      <c r="K78" s="14">
        <f t="shared" si="23"/>
        <v>0</v>
      </c>
      <c r="L78" s="12">
        <f>'Sheet 2. County Level Data'!$G76</f>
        <v>0</v>
      </c>
      <c r="M78" s="12">
        <f t="shared" si="24"/>
        <v>0</v>
      </c>
      <c r="N78" s="12">
        <f t="shared" si="25"/>
        <v>0</v>
      </c>
      <c r="O78" s="12">
        <f>'Sheet 2. County Level Data'!$H76</f>
        <v>0</v>
      </c>
      <c r="P78" s="13" t="e">
        <f t="shared" si="26"/>
        <v>#DIV/0!</v>
      </c>
      <c r="Q78" s="7">
        <f t="shared" si="29"/>
        <v>0</v>
      </c>
      <c r="R78" s="7">
        <f t="shared" si="30"/>
        <v>0</v>
      </c>
      <c r="S78" s="7" t="e">
        <f t="shared" si="31"/>
        <v>#DIV/0!</v>
      </c>
    </row>
    <row r="79" spans="1:19" x14ac:dyDescent="0.2">
      <c r="A79" s="7">
        <f>'Sheet 2. County Level Data'!$A77</f>
        <v>0</v>
      </c>
      <c r="B79" s="7">
        <f>'Sheet 2. County Level Data'!C77</f>
        <v>0</v>
      </c>
      <c r="C79" s="9" t="e">
        <f t="shared" si="27"/>
        <v>#DIV/0!</v>
      </c>
      <c r="D79" s="12">
        <f>'Sheet 2. County Level Data'!$D77</f>
        <v>0</v>
      </c>
      <c r="E79" s="13" t="e">
        <f t="shared" si="28"/>
        <v>#DIV/0!</v>
      </c>
      <c r="F79" s="12">
        <f>'Sheet 2. County Level Data'!$E77</f>
        <v>0</v>
      </c>
      <c r="G79" s="12">
        <f t="shared" si="20"/>
        <v>0</v>
      </c>
      <c r="H79" s="12">
        <f>'Sheet 2. County Level Data'!$F77</f>
        <v>0</v>
      </c>
      <c r="I79" s="13" t="e">
        <f t="shared" si="21"/>
        <v>#DIV/0!</v>
      </c>
      <c r="J79" s="14">
        <f t="shared" si="22"/>
        <v>0</v>
      </c>
      <c r="K79" s="14">
        <f t="shared" si="23"/>
        <v>0</v>
      </c>
      <c r="L79" s="12">
        <f>'Sheet 2. County Level Data'!$G77</f>
        <v>0</v>
      </c>
      <c r="M79" s="12">
        <f t="shared" si="24"/>
        <v>0</v>
      </c>
      <c r="N79" s="12">
        <f t="shared" si="25"/>
        <v>0</v>
      </c>
      <c r="O79" s="12">
        <f>'Sheet 2. County Level Data'!$H77</f>
        <v>0</v>
      </c>
      <c r="P79" s="13" t="e">
        <f t="shared" si="26"/>
        <v>#DIV/0!</v>
      </c>
      <c r="Q79" s="7">
        <f t="shared" si="29"/>
        <v>0</v>
      </c>
      <c r="R79" s="7">
        <f t="shared" si="30"/>
        <v>0</v>
      </c>
      <c r="S79" s="7" t="e">
        <f t="shared" si="31"/>
        <v>#DIV/0!</v>
      </c>
    </row>
    <row r="80" spans="1:19" x14ac:dyDescent="0.2">
      <c r="A80" s="7">
        <f>'Sheet 2. County Level Data'!$A78</f>
        <v>0</v>
      </c>
      <c r="B80" s="7">
        <f>'Sheet 2. County Level Data'!C78</f>
        <v>0</v>
      </c>
      <c r="C80" s="9" t="e">
        <f t="shared" si="27"/>
        <v>#DIV/0!</v>
      </c>
      <c r="D80" s="12">
        <f>'Sheet 2. County Level Data'!$D78</f>
        <v>0</v>
      </c>
      <c r="E80" s="13" t="e">
        <f t="shared" si="28"/>
        <v>#DIV/0!</v>
      </c>
      <c r="F80" s="12">
        <f>'Sheet 2. County Level Data'!$E78</f>
        <v>0</v>
      </c>
      <c r="G80" s="12">
        <f t="shared" si="20"/>
        <v>0</v>
      </c>
      <c r="H80" s="12">
        <f>'Sheet 2. County Level Data'!$F78</f>
        <v>0</v>
      </c>
      <c r="I80" s="13" t="e">
        <f t="shared" si="21"/>
        <v>#DIV/0!</v>
      </c>
      <c r="J80" s="14">
        <f t="shared" si="22"/>
        <v>0</v>
      </c>
      <c r="K80" s="14">
        <f t="shared" si="23"/>
        <v>0</v>
      </c>
      <c r="L80" s="12">
        <f>'Sheet 2. County Level Data'!$G78</f>
        <v>0</v>
      </c>
      <c r="M80" s="12">
        <f t="shared" si="24"/>
        <v>0</v>
      </c>
      <c r="N80" s="12">
        <f t="shared" si="25"/>
        <v>0</v>
      </c>
      <c r="O80" s="12">
        <f>'Sheet 2. County Level Data'!$H78</f>
        <v>0</v>
      </c>
      <c r="P80" s="13" t="e">
        <f t="shared" si="26"/>
        <v>#DIV/0!</v>
      </c>
      <c r="Q80" s="7">
        <f t="shared" si="29"/>
        <v>0</v>
      </c>
      <c r="R80" s="7">
        <f t="shared" si="30"/>
        <v>0</v>
      </c>
      <c r="S80" s="7" t="e">
        <f t="shared" si="31"/>
        <v>#DIV/0!</v>
      </c>
    </row>
    <row r="81" spans="1:19" x14ac:dyDescent="0.2">
      <c r="A81" s="7">
        <f>'Sheet 2. County Level Data'!$A79</f>
        <v>0</v>
      </c>
      <c r="B81" s="7">
        <f>'Sheet 2. County Level Data'!C79</f>
        <v>0</v>
      </c>
      <c r="C81" s="9" t="e">
        <f t="shared" si="27"/>
        <v>#DIV/0!</v>
      </c>
      <c r="D81" s="12">
        <f>'Sheet 2. County Level Data'!$D79</f>
        <v>0</v>
      </c>
      <c r="E81" s="13" t="e">
        <f t="shared" si="28"/>
        <v>#DIV/0!</v>
      </c>
      <c r="F81" s="12">
        <f>'Sheet 2. County Level Data'!$E79</f>
        <v>0</v>
      </c>
      <c r="G81" s="12">
        <f t="shared" si="20"/>
        <v>0</v>
      </c>
      <c r="H81" s="12">
        <f>'Sheet 2. County Level Data'!$F79</f>
        <v>0</v>
      </c>
      <c r="I81" s="13" t="e">
        <f t="shared" si="21"/>
        <v>#DIV/0!</v>
      </c>
      <c r="J81" s="14">
        <f t="shared" si="22"/>
        <v>0</v>
      </c>
      <c r="K81" s="14">
        <f t="shared" si="23"/>
        <v>0</v>
      </c>
      <c r="L81" s="12">
        <f>'Sheet 2. County Level Data'!$G79</f>
        <v>0</v>
      </c>
      <c r="M81" s="12">
        <f t="shared" si="24"/>
        <v>0</v>
      </c>
      <c r="N81" s="12">
        <f t="shared" si="25"/>
        <v>0</v>
      </c>
      <c r="O81" s="12">
        <f>'Sheet 2. County Level Data'!$H79</f>
        <v>0</v>
      </c>
      <c r="P81" s="13" t="e">
        <f t="shared" si="26"/>
        <v>#DIV/0!</v>
      </c>
      <c r="Q81" s="7">
        <f t="shared" si="29"/>
        <v>0</v>
      </c>
      <c r="R81" s="7">
        <f t="shared" si="30"/>
        <v>0</v>
      </c>
      <c r="S81" s="7" t="e">
        <f t="shared" si="31"/>
        <v>#DIV/0!</v>
      </c>
    </row>
    <row r="82" spans="1:19" x14ac:dyDescent="0.2">
      <c r="A82" s="7">
        <f>'Sheet 2. County Level Data'!$A80</f>
        <v>0</v>
      </c>
      <c r="B82" s="7">
        <f>'Sheet 2. County Level Data'!C80</f>
        <v>0</v>
      </c>
      <c r="C82" s="9" t="e">
        <f t="shared" si="27"/>
        <v>#DIV/0!</v>
      </c>
      <c r="D82" s="12">
        <f>'Sheet 2. County Level Data'!$D80</f>
        <v>0</v>
      </c>
      <c r="E82" s="13" t="e">
        <f t="shared" si="28"/>
        <v>#DIV/0!</v>
      </c>
      <c r="F82" s="12">
        <f>'Sheet 2. County Level Data'!$E80</f>
        <v>0</v>
      </c>
      <c r="G82" s="12">
        <f t="shared" si="20"/>
        <v>0</v>
      </c>
      <c r="H82" s="12">
        <f>'Sheet 2. County Level Data'!$F80</f>
        <v>0</v>
      </c>
      <c r="I82" s="13" t="e">
        <f t="shared" si="21"/>
        <v>#DIV/0!</v>
      </c>
      <c r="J82" s="14">
        <f t="shared" si="22"/>
        <v>0</v>
      </c>
      <c r="K82" s="14">
        <f t="shared" si="23"/>
        <v>0</v>
      </c>
      <c r="L82" s="12">
        <f>'Sheet 2. County Level Data'!$G80</f>
        <v>0</v>
      </c>
      <c r="M82" s="12">
        <f t="shared" si="24"/>
        <v>0</v>
      </c>
      <c r="N82" s="12">
        <f t="shared" si="25"/>
        <v>0</v>
      </c>
      <c r="O82" s="12">
        <f>'Sheet 2. County Level Data'!$H80</f>
        <v>0</v>
      </c>
      <c r="P82" s="13" t="e">
        <f t="shared" si="26"/>
        <v>#DIV/0!</v>
      </c>
      <c r="Q82" s="7">
        <f t="shared" si="29"/>
        <v>0</v>
      </c>
      <c r="R82" s="7">
        <f t="shared" si="30"/>
        <v>0</v>
      </c>
      <c r="S82" s="7" t="e">
        <f t="shared" si="31"/>
        <v>#DIV/0!</v>
      </c>
    </row>
    <row r="83" spans="1:19" x14ac:dyDescent="0.2">
      <c r="A83" s="7">
        <f>'Sheet 2. County Level Data'!$A81</f>
        <v>0</v>
      </c>
      <c r="B83" s="7">
        <f>'Sheet 2. County Level Data'!C81</f>
        <v>0</v>
      </c>
      <c r="C83" s="9" t="e">
        <f t="shared" si="27"/>
        <v>#DIV/0!</v>
      </c>
      <c r="D83" s="12">
        <f>'Sheet 2. County Level Data'!$D81</f>
        <v>0</v>
      </c>
      <c r="E83" s="13" t="e">
        <f t="shared" si="28"/>
        <v>#DIV/0!</v>
      </c>
      <c r="F83" s="12">
        <f>'Sheet 2. County Level Data'!$E81</f>
        <v>0</v>
      </c>
      <c r="G83" s="12">
        <f t="shared" si="20"/>
        <v>0</v>
      </c>
      <c r="H83" s="12">
        <f>'Sheet 2. County Level Data'!$F81</f>
        <v>0</v>
      </c>
      <c r="I83" s="13" t="e">
        <f t="shared" si="21"/>
        <v>#DIV/0!</v>
      </c>
      <c r="J83" s="14">
        <f t="shared" si="22"/>
        <v>0</v>
      </c>
      <c r="K83" s="14">
        <f t="shared" si="23"/>
        <v>0</v>
      </c>
      <c r="L83" s="12">
        <f>'Sheet 2. County Level Data'!$G81</f>
        <v>0</v>
      </c>
      <c r="M83" s="12">
        <f t="shared" si="24"/>
        <v>0</v>
      </c>
      <c r="N83" s="12">
        <f t="shared" si="25"/>
        <v>0</v>
      </c>
      <c r="O83" s="12">
        <f>'Sheet 2. County Level Data'!$H81</f>
        <v>0</v>
      </c>
      <c r="P83" s="13" t="e">
        <f t="shared" si="26"/>
        <v>#DIV/0!</v>
      </c>
      <c r="Q83" s="7">
        <f t="shared" si="29"/>
        <v>0</v>
      </c>
      <c r="R83" s="7">
        <f t="shared" si="30"/>
        <v>0</v>
      </c>
      <c r="S83" s="7" t="e">
        <f t="shared" si="31"/>
        <v>#DIV/0!</v>
      </c>
    </row>
    <row r="84" spans="1:19" x14ac:dyDescent="0.2">
      <c r="A84" s="7">
        <f>'Sheet 2. County Level Data'!$A82</f>
        <v>0</v>
      </c>
      <c r="B84" s="7">
        <f>'Sheet 2. County Level Data'!C82</f>
        <v>0</v>
      </c>
      <c r="C84" s="9" t="e">
        <f t="shared" si="27"/>
        <v>#DIV/0!</v>
      </c>
      <c r="D84" s="12">
        <f>'Sheet 2. County Level Data'!$D82</f>
        <v>0</v>
      </c>
      <c r="E84" s="13" t="e">
        <f t="shared" si="28"/>
        <v>#DIV/0!</v>
      </c>
      <c r="F84" s="12">
        <f>'Sheet 2. County Level Data'!$E82</f>
        <v>0</v>
      </c>
      <c r="G84" s="12">
        <f t="shared" si="20"/>
        <v>0</v>
      </c>
      <c r="H84" s="12">
        <f>'Sheet 2. County Level Data'!$F82</f>
        <v>0</v>
      </c>
      <c r="I84" s="13" t="e">
        <f t="shared" si="21"/>
        <v>#DIV/0!</v>
      </c>
      <c r="J84" s="14">
        <f t="shared" si="22"/>
        <v>0</v>
      </c>
      <c r="K84" s="14">
        <f t="shared" si="23"/>
        <v>0</v>
      </c>
      <c r="L84" s="12">
        <f>'Sheet 2. County Level Data'!$G82</f>
        <v>0</v>
      </c>
      <c r="M84" s="12">
        <f t="shared" si="24"/>
        <v>0</v>
      </c>
      <c r="N84" s="12">
        <f t="shared" si="25"/>
        <v>0</v>
      </c>
      <c r="O84" s="12">
        <f>'Sheet 2. County Level Data'!$H82</f>
        <v>0</v>
      </c>
      <c r="P84" s="13" t="e">
        <f t="shared" si="26"/>
        <v>#DIV/0!</v>
      </c>
      <c r="Q84" s="7">
        <f t="shared" si="29"/>
        <v>0</v>
      </c>
      <c r="R84" s="7">
        <f t="shared" si="30"/>
        <v>0</v>
      </c>
      <c r="S84" s="7" t="e">
        <f t="shared" si="31"/>
        <v>#DIV/0!</v>
      </c>
    </row>
    <row r="85" spans="1:19" x14ac:dyDescent="0.2">
      <c r="A85" s="7">
        <f>'Sheet 2. County Level Data'!$A83</f>
        <v>0</v>
      </c>
      <c r="B85" s="7">
        <f>'Sheet 2. County Level Data'!C83</f>
        <v>0</v>
      </c>
      <c r="C85" s="9" t="e">
        <f t="shared" si="27"/>
        <v>#DIV/0!</v>
      </c>
      <c r="D85" s="12">
        <f>'Sheet 2. County Level Data'!$D83</f>
        <v>0</v>
      </c>
      <c r="E85" s="13" t="e">
        <f t="shared" si="28"/>
        <v>#DIV/0!</v>
      </c>
      <c r="F85" s="12">
        <f>'Sheet 2. County Level Data'!$E83</f>
        <v>0</v>
      </c>
      <c r="G85" s="12">
        <f t="shared" si="20"/>
        <v>0</v>
      </c>
      <c r="H85" s="12">
        <f>'Sheet 2. County Level Data'!$F83</f>
        <v>0</v>
      </c>
      <c r="I85" s="13" t="e">
        <f t="shared" si="21"/>
        <v>#DIV/0!</v>
      </c>
      <c r="J85" s="14">
        <f t="shared" si="22"/>
        <v>0</v>
      </c>
      <c r="K85" s="14">
        <f t="shared" si="23"/>
        <v>0</v>
      </c>
      <c r="L85" s="12">
        <f>'Sheet 2. County Level Data'!$G83</f>
        <v>0</v>
      </c>
      <c r="M85" s="12">
        <f t="shared" si="24"/>
        <v>0</v>
      </c>
      <c r="N85" s="12">
        <f t="shared" si="25"/>
        <v>0</v>
      </c>
      <c r="O85" s="12">
        <f>'Sheet 2. County Level Data'!$H83</f>
        <v>0</v>
      </c>
      <c r="P85" s="13" t="e">
        <f t="shared" si="26"/>
        <v>#DIV/0!</v>
      </c>
      <c r="Q85" s="7">
        <f t="shared" si="29"/>
        <v>0</v>
      </c>
      <c r="R85" s="7">
        <f t="shared" si="30"/>
        <v>0</v>
      </c>
      <c r="S85" s="7" t="e">
        <f t="shared" si="31"/>
        <v>#DIV/0!</v>
      </c>
    </row>
    <row r="86" spans="1:19" x14ac:dyDescent="0.2">
      <c r="A86" s="7">
        <f>'Sheet 2. County Level Data'!$A84</f>
        <v>0</v>
      </c>
      <c r="B86" s="7">
        <f>'Sheet 2. County Level Data'!C84</f>
        <v>0</v>
      </c>
      <c r="C86" s="9" t="e">
        <f t="shared" si="27"/>
        <v>#DIV/0!</v>
      </c>
      <c r="D86" s="12">
        <f>'Sheet 2. County Level Data'!$D84</f>
        <v>0</v>
      </c>
      <c r="E86" s="13" t="e">
        <f t="shared" si="28"/>
        <v>#DIV/0!</v>
      </c>
      <c r="F86" s="12">
        <f>'Sheet 2. County Level Data'!$E84</f>
        <v>0</v>
      </c>
      <c r="G86" s="12">
        <f t="shared" si="20"/>
        <v>0</v>
      </c>
      <c r="H86" s="12">
        <f>'Sheet 2. County Level Data'!$F84</f>
        <v>0</v>
      </c>
      <c r="I86" s="13" t="e">
        <f t="shared" si="21"/>
        <v>#DIV/0!</v>
      </c>
      <c r="J86" s="14">
        <f t="shared" si="22"/>
        <v>0</v>
      </c>
      <c r="K86" s="14">
        <f t="shared" si="23"/>
        <v>0</v>
      </c>
      <c r="L86" s="12">
        <f>'Sheet 2. County Level Data'!$G84</f>
        <v>0</v>
      </c>
      <c r="M86" s="12">
        <f t="shared" si="24"/>
        <v>0</v>
      </c>
      <c r="N86" s="12">
        <f t="shared" si="25"/>
        <v>0</v>
      </c>
      <c r="O86" s="12">
        <f>'Sheet 2. County Level Data'!$H84</f>
        <v>0</v>
      </c>
      <c r="P86" s="13" t="e">
        <f t="shared" si="26"/>
        <v>#DIV/0!</v>
      </c>
      <c r="Q86" s="7">
        <f t="shared" si="29"/>
        <v>0</v>
      </c>
      <c r="R86" s="7">
        <f t="shared" si="30"/>
        <v>0</v>
      </c>
      <c r="S86" s="7" t="e">
        <f t="shared" si="31"/>
        <v>#DIV/0!</v>
      </c>
    </row>
    <row r="87" spans="1:19" x14ac:dyDescent="0.2">
      <c r="A87" s="7">
        <f>'Sheet 2. County Level Data'!$A85</f>
        <v>0</v>
      </c>
      <c r="B87" s="7">
        <f>'Sheet 2. County Level Data'!C85</f>
        <v>0</v>
      </c>
      <c r="C87" s="9" t="e">
        <f t="shared" si="27"/>
        <v>#DIV/0!</v>
      </c>
      <c r="D87" s="12">
        <f>'Sheet 2. County Level Data'!$D85</f>
        <v>0</v>
      </c>
      <c r="E87" s="13" t="e">
        <f t="shared" si="28"/>
        <v>#DIV/0!</v>
      </c>
      <c r="F87" s="12">
        <f>'Sheet 2. County Level Data'!$E85</f>
        <v>0</v>
      </c>
      <c r="G87" s="12">
        <f t="shared" si="20"/>
        <v>0</v>
      </c>
      <c r="H87" s="12">
        <f>'Sheet 2. County Level Data'!$F85</f>
        <v>0</v>
      </c>
      <c r="I87" s="13" t="e">
        <f t="shared" si="21"/>
        <v>#DIV/0!</v>
      </c>
      <c r="J87" s="14">
        <f t="shared" si="22"/>
        <v>0</v>
      </c>
      <c r="K87" s="14">
        <f t="shared" si="23"/>
        <v>0</v>
      </c>
      <c r="L87" s="12">
        <f>'Sheet 2. County Level Data'!$G85</f>
        <v>0</v>
      </c>
      <c r="M87" s="12">
        <f t="shared" si="24"/>
        <v>0</v>
      </c>
      <c r="N87" s="12">
        <f t="shared" si="25"/>
        <v>0</v>
      </c>
      <c r="O87" s="12">
        <f>'Sheet 2. County Level Data'!$H85</f>
        <v>0</v>
      </c>
      <c r="P87" s="13" t="e">
        <f t="shared" si="26"/>
        <v>#DIV/0!</v>
      </c>
      <c r="Q87" s="7">
        <f t="shared" si="29"/>
        <v>0</v>
      </c>
      <c r="R87" s="7">
        <f t="shared" si="30"/>
        <v>0</v>
      </c>
      <c r="S87" s="7" t="e">
        <f t="shared" si="31"/>
        <v>#DIV/0!</v>
      </c>
    </row>
    <row r="88" spans="1:19" x14ac:dyDescent="0.2">
      <c r="A88" s="7">
        <f>'Sheet 2. County Level Data'!$A86</f>
        <v>0</v>
      </c>
      <c r="B88" s="7">
        <f>'Sheet 2. County Level Data'!C86</f>
        <v>0</v>
      </c>
      <c r="C88" s="9" t="e">
        <f t="shared" si="27"/>
        <v>#DIV/0!</v>
      </c>
      <c r="D88" s="12">
        <f>'Sheet 2. County Level Data'!$D86</f>
        <v>0</v>
      </c>
      <c r="E88" s="13" t="e">
        <f t="shared" si="28"/>
        <v>#DIV/0!</v>
      </c>
      <c r="F88" s="12">
        <f>'Sheet 2. County Level Data'!$E86</f>
        <v>0</v>
      </c>
      <c r="G88" s="12">
        <f t="shared" si="20"/>
        <v>0</v>
      </c>
      <c r="H88" s="12">
        <f>'Sheet 2. County Level Data'!$F86</f>
        <v>0</v>
      </c>
      <c r="I88" s="13" t="e">
        <f t="shared" si="21"/>
        <v>#DIV/0!</v>
      </c>
      <c r="J88" s="14">
        <f t="shared" si="22"/>
        <v>0</v>
      </c>
      <c r="K88" s="14">
        <f t="shared" si="23"/>
        <v>0</v>
      </c>
      <c r="L88" s="12">
        <f>'Sheet 2. County Level Data'!$G86</f>
        <v>0</v>
      </c>
      <c r="M88" s="12">
        <f t="shared" si="24"/>
        <v>0</v>
      </c>
      <c r="N88" s="12">
        <f t="shared" si="25"/>
        <v>0</v>
      </c>
      <c r="O88" s="12">
        <f>'Sheet 2. County Level Data'!$H86</f>
        <v>0</v>
      </c>
      <c r="P88" s="13" t="e">
        <f t="shared" si="26"/>
        <v>#DIV/0!</v>
      </c>
      <c r="Q88" s="7">
        <f t="shared" si="29"/>
        <v>0</v>
      </c>
      <c r="R88" s="7">
        <f t="shared" si="30"/>
        <v>0</v>
      </c>
      <c r="S88" s="7" t="e">
        <f t="shared" si="31"/>
        <v>#DIV/0!</v>
      </c>
    </row>
    <row r="89" spans="1:19" x14ac:dyDescent="0.2">
      <c r="A89" s="7">
        <f>'Sheet 2. County Level Data'!$A87</f>
        <v>0</v>
      </c>
      <c r="B89" s="7">
        <f>'Sheet 2. County Level Data'!C87</f>
        <v>0</v>
      </c>
      <c r="C89" s="9" t="e">
        <f t="shared" si="27"/>
        <v>#DIV/0!</v>
      </c>
      <c r="D89" s="12">
        <f>'Sheet 2. County Level Data'!$D87</f>
        <v>0</v>
      </c>
      <c r="E89" s="13" t="e">
        <f t="shared" si="28"/>
        <v>#DIV/0!</v>
      </c>
      <c r="F89" s="12">
        <f>'Sheet 2. County Level Data'!$E87</f>
        <v>0</v>
      </c>
      <c r="G89" s="12">
        <f t="shared" si="20"/>
        <v>0</v>
      </c>
      <c r="H89" s="12">
        <f>'Sheet 2. County Level Data'!$F87</f>
        <v>0</v>
      </c>
      <c r="I89" s="13" t="e">
        <f t="shared" si="21"/>
        <v>#DIV/0!</v>
      </c>
      <c r="J89" s="14">
        <f t="shared" si="22"/>
        <v>0</v>
      </c>
      <c r="K89" s="14">
        <f t="shared" si="23"/>
        <v>0</v>
      </c>
      <c r="L89" s="12">
        <f>'Sheet 2. County Level Data'!$G87</f>
        <v>0</v>
      </c>
      <c r="M89" s="12">
        <f t="shared" si="24"/>
        <v>0</v>
      </c>
      <c r="N89" s="12">
        <f t="shared" si="25"/>
        <v>0</v>
      </c>
      <c r="O89" s="12">
        <f>'Sheet 2. County Level Data'!$H87</f>
        <v>0</v>
      </c>
      <c r="P89" s="13" t="e">
        <f t="shared" si="26"/>
        <v>#DIV/0!</v>
      </c>
      <c r="Q89" s="7">
        <f t="shared" si="29"/>
        <v>0</v>
      </c>
      <c r="R89" s="7">
        <f t="shared" si="30"/>
        <v>0</v>
      </c>
      <c r="S89" s="7" t="e">
        <f t="shared" si="31"/>
        <v>#DIV/0!</v>
      </c>
    </row>
    <row r="90" spans="1:19" x14ac:dyDescent="0.2">
      <c r="A90" s="7">
        <f>'Sheet 2. County Level Data'!$A88</f>
        <v>0</v>
      </c>
      <c r="B90" s="7">
        <f>'Sheet 2. County Level Data'!C88</f>
        <v>0</v>
      </c>
      <c r="C90" s="9" t="e">
        <f t="shared" si="27"/>
        <v>#DIV/0!</v>
      </c>
      <c r="D90" s="12">
        <f>'Sheet 2. County Level Data'!$D88</f>
        <v>0</v>
      </c>
      <c r="E90" s="13" t="e">
        <f t="shared" si="28"/>
        <v>#DIV/0!</v>
      </c>
      <c r="F90" s="12">
        <f>'Sheet 2. County Level Data'!$E88</f>
        <v>0</v>
      </c>
      <c r="G90" s="12">
        <f t="shared" si="20"/>
        <v>0</v>
      </c>
      <c r="H90" s="12">
        <f>'Sheet 2. County Level Data'!$F88</f>
        <v>0</v>
      </c>
      <c r="I90" s="13" t="e">
        <f t="shared" si="21"/>
        <v>#DIV/0!</v>
      </c>
      <c r="J90" s="14">
        <f t="shared" si="22"/>
        <v>0</v>
      </c>
      <c r="K90" s="14">
        <f t="shared" si="23"/>
        <v>0</v>
      </c>
      <c r="L90" s="12">
        <f>'Sheet 2. County Level Data'!$G88</f>
        <v>0</v>
      </c>
      <c r="M90" s="12">
        <f t="shared" si="24"/>
        <v>0</v>
      </c>
      <c r="N90" s="12">
        <f t="shared" si="25"/>
        <v>0</v>
      </c>
      <c r="O90" s="12">
        <f>'Sheet 2. County Level Data'!$H88</f>
        <v>0</v>
      </c>
      <c r="P90" s="13" t="e">
        <f t="shared" si="26"/>
        <v>#DIV/0!</v>
      </c>
      <c r="Q90" s="7">
        <f t="shared" si="29"/>
        <v>0</v>
      </c>
      <c r="R90" s="7">
        <f t="shared" si="30"/>
        <v>0</v>
      </c>
      <c r="S90" s="7" t="e">
        <f t="shared" si="31"/>
        <v>#DIV/0!</v>
      </c>
    </row>
    <row r="91" spans="1:19" x14ac:dyDescent="0.2">
      <c r="A91" s="7">
        <f>'Sheet 2. County Level Data'!$A89</f>
        <v>0</v>
      </c>
      <c r="B91" s="7">
        <f>'Sheet 2. County Level Data'!C89</f>
        <v>0</v>
      </c>
      <c r="C91" s="9" t="e">
        <f t="shared" si="27"/>
        <v>#DIV/0!</v>
      </c>
      <c r="D91" s="12">
        <f>'Sheet 2. County Level Data'!$D89</f>
        <v>0</v>
      </c>
      <c r="E91" s="13" t="e">
        <f t="shared" si="28"/>
        <v>#DIV/0!</v>
      </c>
      <c r="F91" s="12">
        <f>'Sheet 2. County Level Data'!$E89</f>
        <v>0</v>
      </c>
      <c r="G91" s="12">
        <f t="shared" si="20"/>
        <v>0</v>
      </c>
      <c r="H91" s="12">
        <f>'Sheet 2. County Level Data'!$F89</f>
        <v>0</v>
      </c>
      <c r="I91" s="13" t="e">
        <f t="shared" si="21"/>
        <v>#DIV/0!</v>
      </c>
      <c r="J91" s="14">
        <f t="shared" si="22"/>
        <v>0</v>
      </c>
      <c r="K91" s="14">
        <f t="shared" si="23"/>
        <v>0</v>
      </c>
      <c r="L91" s="12">
        <f>'Sheet 2. County Level Data'!$G89</f>
        <v>0</v>
      </c>
      <c r="M91" s="12">
        <f t="shared" si="24"/>
        <v>0</v>
      </c>
      <c r="N91" s="12">
        <f t="shared" si="25"/>
        <v>0</v>
      </c>
      <c r="O91" s="12">
        <f>'Sheet 2. County Level Data'!$H89</f>
        <v>0</v>
      </c>
      <c r="P91" s="13" t="e">
        <f t="shared" si="26"/>
        <v>#DIV/0!</v>
      </c>
      <c r="Q91" s="7">
        <f t="shared" si="29"/>
        <v>0</v>
      </c>
      <c r="R91" s="7">
        <f t="shared" si="30"/>
        <v>0</v>
      </c>
      <c r="S91" s="7" t="e">
        <f t="shared" si="31"/>
        <v>#DIV/0!</v>
      </c>
    </row>
    <row r="92" spans="1:19" x14ac:dyDescent="0.2">
      <c r="A92" s="7">
        <f>'Sheet 2. County Level Data'!$A90</f>
        <v>0</v>
      </c>
      <c r="B92" s="7">
        <f>'Sheet 2. County Level Data'!C90</f>
        <v>0</v>
      </c>
      <c r="C92" s="9" t="e">
        <f t="shared" si="27"/>
        <v>#DIV/0!</v>
      </c>
      <c r="D92" s="12">
        <f>'Sheet 2. County Level Data'!$D90</f>
        <v>0</v>
      </c>
      <c r="E92" s="13" t="e">
        <f t="shared" si="28"/>
        <v>#DIV/0!</v>
      </c>
      <c r="F92" s="12">
        <f>'Sheet 2. County Level Data'!$E90</f>
        <v>0</v>
      </c>
      <c r="G92" s="12">
        <f t="shared" si="20"/>
        <v>0</v>
      </c>
      <c r="H92" s="12">
        <f>'Sheet 2. County Level Data'!$F90</f>
        <v>0</v>
      </c>
      <c r="I92" s="13" t="e">
        <f t="shared" si="21"/>
        <v>#DIV/0!</v>
      </c>
      <c r="J92" s="14">
        <f t="shared" si="22"/>
        <v>0</v>
      </c>
      <c r="K92" s="14">
        <f t="shared" si="23"/>
        <v>0</v>
      </c>
      <c r="L92" s="12">
        <f>'Sheet 2. County Level Data'!$G90</f>
        <v>0</v>
      </c>
      <c r="M92" s="12">
        <f t="shared" si="24"/>
        <v>0</v>
      </c>
      <c r="N92" s="12">
        <f t="shared" si="25"/>
        <v>0</v>
      </c>
      <c r="O92" s="12">
        <f>'Sheet 2. County Level Data'!$H90</f>
        <v>0</v>
      </c>
      <c r="P92" s="13" t="e">
        <f t="shared" si="26"/>
        <v>#DIV/0!</v>
      </c>
      <c r="Q92" s="7">
        <f t="shared" si="29"/>
        <v>0</v>
      </c>
      <c r="R92" s="7">
        <f t="shared" si="30"/>
        <v>0</v>
      </c>
      <c r="S92" s="7" t="e">
        <f t="shared" si="31"/>
        <v>#DIV/0!</v>
      </c>
    </row>
    <row r="93" spans="1:19" x14ac:dyDescent="0.2">
      <c r="A93" s="7">
        <f>'Sheet 2. County Level Data'!$A91</f>
        <v>0</v>
      </c>
      <c r="B93" s="7">
        <f>'Sheet 2. County Level Data'!C91</f>
        <v>0</v>
      </c>
      <c r="C93" s="9" t="e">
        <f t="shared" si="27"/>
        <v>#DIV/0!</v>
      </c>
      <c r="D93" s="12">
        <f>'Sheet 2. County Level Data'!$D91</f>
        <v>0</v>
      </c>
      <c r="E93" s="13" t="e">
        <f t="shared" si="28"/>
        <v>#DIV/0!</v>
      </c>
      <c r="F93" s="12">
        <f>'Sheet 2. County Level Data'!$E91</f>
        <v>0</v>
      </c>
      <c r="G93" s="12">
        <f t="shared" si="20"/>
        <v>0</v>
      </c>
      <c r="H93" s="12">
        <f>'Sheet 2. County Level Data'!$F91</f>
        <v>0</v>
      </c>
      <c r="I93" s="13" t="e">
        <f t="shared" si="21"/>
        <v>#DIV/0!</v>
      </c>
      <c r="J93" s="14">
        <f t="shared" si="22"/>
        <v>0</v>
      </c>
      <c r="K93" s="14">
        <f t="shared" si="23"/>
        <v>0</v>
      </c>
      <c r="L93" s="12">
        <f>'Sheet 2. County Level Data'!$G91</f>
        <v>0</v>
      </c>
      <c r="M93" s="12">
        <f t="shared" si="24"/>
        <v>0</v>
      </c>
      <c r="N93" s="12">
        <f t="shared" si="25"/>
        <v>0</v>
      </c>
      <c r="O93" s="12">
        <f>'Sheet 2. County Level Data'!$H91</f>
        <v>0</v>
      </c>
      <c r="P93" s="13" t="e">
        <f t="shared" si="26"/>
        <v>#DIV/0!</v>
      </c>
      <c r="Q93" s="7">
        <f t="shared" si="29"/>
        <v>0</v>
      </c>
      <c r="R93" s="7">
        <f t="shared" si="30"/>
        <v>0</v>
      </c>
      <c r="S93" s="7" t="e">
        <f t="shared" si="31"/>
        <v>#DIV/0!</v>
      </c>
    </row>
    <row r="94" spans="1:19" x14ac:dyDescent="0.2">
      <c r="A94" s="7">
        <f>'Sheet 2. County Level Data'!$A92</f>
        <v>0</v>
      </c>
      <c r="B94" s="7">
        <f>'Sheet 2. County Level Data'!C92</f>
        <v>0</v>
      </c>
      <c r="C94" s="9" t="e">
        <f t="shared" si="27"/>
        <v>#DIV/0!</v>
      </c>
      <c r="D94" s="12">
        <f>'Sheet 2. County Level Data'!$D92</f>
        <v>0</v>
      </c>
      <c r="E94" s="13" t="e">
        <f t="shared" si="28"/>
        <v>#DIV/0!</v>
      </c>
      <c r="F94" s="12">
        <f>'Sheet 2. County Level Data'!$E92</f>
        <v>0</v>
      </c>
      <c r="G94" s="12">
        <f t="shared" si="20"/>
        <v>0</v>
      </c>
      <c r="H94" s="12">
        <f>'Sheet 2. County Level Data'!$F92</f>
        <v>0</v>
      </c>
      <c r="I94" s="13" t="e">
        <f t="shared" si="21"/>
        <v>#DIV/0!</v>
      </c>
      <c r="J94" s="14">
        <f t="shared" si="22"/>
        <v>0</v>
      </c>
      <c r="K94" s="14">
        <f t="shared" si="23"/>
        <v>0</v>
      </c>
      <c r="L94" s="12">
        <f>'Sheet 2. County Level Data'!$G92</f>
        <v>0</v>
      </c>
      <c r="M94" s="12">
        <f t="shared" si="24"/>
        <v>0</v>
      </c>
      <c r="N94" s="12">
        <f t="shared" si="25"/>
        <v>0</v>
      </c>
      <c r="O94" s="12">
        <f>'Sheet 2. County Level Data'!$H92</f>
        <v>0</v>
      </c>
      <c r="P94" s="13" t="e">
        <f t="shared" si="26"/>
        <v>#DIV/0!</v>
      </c>
      <c r="Q94" s="7">
        <f t="shared" si="29"/>
        <v>0</v>
      </c>
      <c r="R94" s="7">
        <f t="shared" si="30"/>
        <v>0</v>
      </c>
      <c r="S94" s="7" t="e">
        <f t="shared" si="31"/>
        <v>#DIV/0!</v>
      </c>
    </row>
    <row r="95" spans="1:19" x14ac:dyDescent="0.2">
      <c r="A95" s="7">
        <f>'Sheet 2. County Level Data'!$A93</f>
        <v>0</v>
      </c>
      <c r="B95" s="7">
        <f>'Sheet 2. County Level Data'!C93</f>
        <v>0</v>
      </c>
      <c r="C95" s="9" t="e">
        <f t="shared" si="27"/>
        <v>#DIV/0!</v>
      </c>
      <c r="D95" s="12">
        <f>'Sheet 2. County Level Data'!$D93</f>
        <v>0</v>
      </c>
      <c r="E95" s="13" t="e">
        <f t="shared" si="28"/>
        <v>#DIV/0!</v>
      </c>
      <c r="F95" s="12">
        <f>'Sheet 2. County Level Data'!$E93</f>
        <v>0</v>
      </c>
      <c r="G95" s="12">
        <f t="shared" si="20"/>
        <v>0</v>
      </c>
      <c r="H95" s="12">
        <f>'Sheet 2. County Level Data'!$F93</f>
        <v>0</v>
      </c>
      <c r="I95" s="13" t="e">
        <f t="shared" si="21"/>
        <v>#DIV/0!</v>
      </c>
      <c r="J95" s="14">
        <f t="shared" si="22"/>
        <v>0</v>
      </c>
      <c r="K95" s="14">
        <f t="shared" si="23"/>
        <v>0</v>
      </c>
      <c r="L95" s="12">
        <f>'Sheet 2. County Level Data'!$G93</f>
        <v>0</v>
      </c>
      <c r="M95" s="12">
        <f t="shared" si="24"/>
        <v>0</v>
      </c>
      <c r="N95" s="12">
        <f t="shared" si="25"/>
        <v>0</v>
      </c>
      <c r="O95" s="12">
        <f>'Sheet 2. County Level Data'!$H93</f>
        <v>0</v>
      </c>
      <c r="P95" s="13" t="e">
        <f t="shared" si="26"/>
        <v>#DIV/0!</v>
      </c>
      <c r="Q95" s="7">
        <f t="shared" si="29"/>
        <v>0</v>
      </c>
      <c r="R95" s="7">
        <f t="shared" si="30"/>
        <v>0</v>
      </c>
      <c r="S95" s="7" t="e">
        <f t="shared" si="31"/>
        <v>#DIV/0!</v>
      </c>
    </row>
    <row r="96" spans="1:19" x14ac:dyDescent="0.2">
      <c r="A96" s="7">
        <f>'Sheet 2. County Level Data'!$A94</f>
        <v>0</v>
      </c>
      <c r="B96" s="7">
        <f>'Sheet 2. County Level Data'!C94</f>
        <v>0</v>
      </c>
      <c r="C96" s="9" t="e">
        <f t="shared" si="27"/>
        <v>#DIV/0!</v>
      </c>
      <c r="D96" s="12">
        <f>'Sheet 2. County Level Data'!$D94</f>
        <v>0</v>
      </c>
      <c r="E96" s="13" t="e">
        <f t="shared" si="28"/>
        <v>#DIV/0!</v>
      </c>
      <c r="F96" s="12">
        <f>'Sheet 2. County Level Data'!$E94</f>
        <v>0</v>
      </c>
      <c r="G96" s="12">
        <f t="shared" si="20"/>
        <v>0</v>
      </c>
      <c r="H96" s="12">
        <f>'Sheet 2. County Level Data'!$F94</f>
        <v>0</v>
      </c>
      <c r="I96" s="13" t="e">
        <f t="shared" si="21"/>
        <v>#DIV/0!</v>
      </c>
      <c r="J96" s="14">
        <f t="shared" si="22"/>
        <v>0</v>
      </c>
      <c r="K96" s="14">
        <f t="shared" si="23"/>
        <v>0</v>
      </c>
      <c r="L96" s="12">
        <f>'Sheet 2. County Level Data'!$G94</f>
        <v>0</v>
      </c>
      <c r="M96" s="12">
        <f t="shared" si="24"/>
        <v>0</v>
      </c>
      <c r="N96" s="12">
        <f t="shared" si="25"/>
        <v>0</v>
      </c>
      <c r="O96" s="12">
        <f>'Sheet 2. County Level Data'!$H94</f>
        <v>0</v>
      </c>
      <c r="P96" s="13" t="e">
        <f t="shared" si="26"/>
        <v>#DIV/0!</v>
      </c>
      <c r="Q96" s="7">
        <f t="shared" si="29"/>
        <v>0</v>
      </c>
      <c r="R96" s="7">
        <f t="shared" si="30"/>
        <v>0</v>
      </c>
      <c r="S96" s="7" t="e">
        <f t="shared" si="31"/>
        <v>#DIV/0!</v>
      </c>
    </row>
    <row r="97" spans="1:19" x14ac:dyDescent="0.2">
      <c r="A97" s="7">
        <f>'Sheet 2. County Level Data'!$A95</f>
        <v>0</v>
      </c>
      <c r="B97" s="7">
        <f>'Sheet 2. County Level Data'!C95</f>
        <v>0</v>
      </c>
      <c r="C97" s="9" t="e">
        <f t="shared" si="27"/>
        <v>#DIV/0!</v>
      </c>
      <c r="D97" s="12">
        <f>'Sheet 2. County Level Data'!$D95</f>
        <v>0</v>
      </c>
      <c r="E97" s="13" t="e">
        <f t="shared" si="28"/>
        <v>#DIV/0!</v>
      </c>
      <c r="F97" s="12">
        <f>'Sheet 2. County Level Data'!$E95</f>
        <v>0</v>
      </c>
      <c r="G97" s="12">
        <f t="shared" si="20"/>
        <v>0</v>
      </c>
      <c r="H97" s="12">
        <f>'Sheet 2. County Level Data'!$F95</f>
        <v>0</v>
      </c>
      <c r="I97" s="13" t="e">
        <f t="shared" si="21"/>
        <v>#DIV/0!</v>
      </c>
      <c r="J97" s="14">
        <f t="shared" si="22"/>
        <v>0</v>
      </c>
      <c r="K97" s="14">
        <f t="shared" si="23"/>
        <v>0</v>
      </c>
      <c r="L97" s="12">
        <f>'Sheet 2. County Level Data'!$G95</f>
        <v>0</v>
      </c>
      <c r="M97" s="12">
        <f t="shared" si="24"/>
        <v>0</v>
      </c>
      <c r="N97" s="12">
        <f t="shared" si="25"/>
        <v>0</v>
      </c>
      <c r="O97" s="12">
        <f>'Sheet 2. County Level Data'!$H95</f>
        <v>0</v>
      </c>
      <c r="P97" s="13" t="e">
        <f t="shared" si="26"/>
        <v>#DIV/0!</v>
      </c>
      <c r="Q97" s="7">
        <f t="shared" si="29"/>
        <v>0</v>
      </c>
      <c r="R97" s="7">
        <f t="shared" si="30"/>
        <v>0</v>
      </c>
      <c r="S97" s="7" t="e">
        <f t="shared" si="31"/>
        <v>#DIV/0!</v>
      </c>
    </row>
    <row r="98" spans="1:19" x14ac:dyDescent="0.2">
      <c r="A98" s="7">
        <f>'Sheet 2. County Level Data'!$A96</f>
        <v>0</v>
      </c>
      <c r="B98" s="7">
        <f>'Sheet 2. County Level Data'!C96</f>
        <v>0</v>
      </c>
      <c r="C98" s="9" t="e">
        <f t="shared" si="27"/>
        <v>#DIV/0!</v>
      </c>
      <c r="D98" s="12">
        <f>'Sheet 2. County Level Data'!$D96</f>
        <v>0</v>
      </c>
      <c r="E98" s="13" t="e">
        <f t="shared" si="28"/>
        <v>#DIV/0!</v>
      </c>
      <c r="F98" s="12">
        <f>'Sheet 2. County Level Data'!$E96</f>
        <v>0</v>
      </c>
      <c r="G98" s="12">
        <f t="shared" si="20"/>
        <v>0</v>
      </c>
      <c r="H98" s="12">
        <f>'Sheet 2. County Level Data'!$F96</f>
        <v>0</v>
      </c>
      <c r="I98" s="13" t="e">
        <f t="shared" si="21"/>
        <v>#DIV/0!</v>
      </c>
      <c r="J98" s="14">
        <f t="shared" si="22"/>
        <v>0</v>
      </c>
      <c r="K98" s="14">
        <f t="shared" si="23"/>
        <v>0</v>
      </c>
      <c r="L98" s="12">
        <f>'Sheet 2. County Level Data'!$G96</f>
        <v>0</v>
      </c>
      <c r="M98" s="12">
        <f t="shared" si="24"/>
        <v>0</v>
      </c>
      <c r="N98" s="12">
        <f t="shared" si="25"/>
        <v>0</v>
      </c>
      <c r="O98" s="12">
        <f>'Sheet 2. County Level Data'!$H96</f>
        <v>0</v>
      </c>
      <c r="P98" s="13" t="e">
        <f t="shared" si="26"/>
        <v>#DIV/0!</v>
      </c>
      <c r="Q98" s="7">
        <f t="shared" si="29"/>
        <v>0</v>
      </c>
      <c r="R98" s="7">
        <f t="shared" si="30"/>
        <v>0</v>
      </c>
      <c r="S98" s="7" t="e">
        <f t="shared" si="31"/>
        <v>#DIV/0!</v>
      </c>
    </row>
    <row r="99" spans="1:19" x14ac:dyDescent="0.2">
      <c r="A99" s="7">
        <f>'Sheet 2. County Level Data'!$A97</f>
        <v>0</v>
      </c>
      <c r="B99" s="7">
        <f>'Sheet 2. County Level Data'!C97</f>
        <v>0</v>
      </c>
      <c r="C99" s="9" t="e">
        <f t="shared" si="27"/>
        <v>#DIV/0!</v>
      </c>
      <c r="D99" s="12">
        <f>'Sheet 2. County Level Data'!$D97</f>
        <v>0</v>
      </c>
      <c r="E99" s="13" t="e">
        <f t="shared" si="28"/>
        <v>#DIV/0!</v>
      </c>
      <c r="F99" s="12">
        <f>'Sheet 2. County Level Data'!$E97</f>
        <v>0</v>
      </c>
      <c r="G99" s="12">
        <f t="shared" si="20"/>
        <v>0</v>
      </c>
      <c r="H99" s="12">
        <f>'Sheet 2. County Level Data'!$F97</f>
        <v>0</v>
      </c>
      <c r="I99" s="13" t="e">
        <f t="shared" si="21"/>
        <v>#DIV/0!</v>
      </c>
      <c r="J99" s="14">
        <f t="shared" si="22"/>
        <v>0</v>
      </c>
      <c r="K99" s="14">
        <f t="shared" si="23"/>
        <v>0</v>
      </c>
      <c r="L99" s="12">
        <f>'Sheet 2. County Level Data'!$G97</f>
        <v>0</v>
      </c>
      <c r="M99" s="12">
        <f t="shared" si="24"/>
        <v>0</v>
      </c>
      <c r="N99" s="12">
        <f t="shared" si="25"/>
        <v>0</v>
      </c>
      <c r="O99" s="12">
        <f>'Sheet 2. County Level Data'!$H97</f>
        <v>0</v>
      </c>
      <c r="P99" s="13" t="e">
        <f t="shared" si="26"/>
        <v>#DIV/0!</v>
      </c>
      <c r="Q99" s="7">
        <f t="shared" si="29"/>
        <v>0</v>
      </c>
      <c r="R99" s="7">
        <f t="shared" si="30"/>
        <v>0</v>
      </c>
      <c r="S99" s="7" t="e">
        <f t="shared" si="31"/>
        <v>#DIV/0!</v>
      </c>
    </row>
    <row r="100" spans="1:19" x14ac:dyDescent="0.2">
      <c r="A100" s="7">
        <f>'Sheet 2. County Level Data'!$A98</f>
        <v>0</v>
      </c>
      <c r="B100" s="7">
        <f>'Sheet 2. County Level Data'!C98</f>
        <v>0</v>
      </c>
      <c r="C100" s="9" t="e">
        <f t="shared" si="27"/>
        <v>#DIV/0!</v>
      </c>
      <c r="D100" s="12">
        <f>'Sheet 2. County Level Data'!$D98</f>
        <v>0</v>
      </c>
      <c r="E100" s="13" t="e">
        <f t="shared" si="28"/>
        <v>#DIV/0!</v>
      </c>
      <c r="F100" s="12">
        <f>'Sheet 2. County Level Data'!$E98</f>
        <v>0</v>
      </c>
      <c r="G100" s="12">
        <f t="shared" ref="G100:G131" si="32">IF(F100&gt;=4,1,0)</f>
        <v>0</v>
      </c>
      <c r="H100" s="12">
        <f>'Sheet 2. County Level Data'!$F98</f>
        <v>0</v>
      </c>
      <c r="I100" s="13" t="e">
        <f t="shared" ref="I100:I131" si="33">$H100/$B100</f>
        <v>#DIV/0!</v>
      </c>
      <c r="J100" s="14">
        <f t="shared" ref="J100:J131" si="34">IF(G100=0,H100,0)</f>
        <v>0</v>
      </c>
      <c r="K100" s="14">
        <f t="shared" ref="K100:K131" si="35">IF(G100=1,H100,0)</f>
        <v>0</v>
      </c>
      <c r="L100" s="12">
        <f>'Sheet 2. County Level Data'!$G98</f>
        <v>0</v>
      </c>
      <c r="M100" s="12">
        <f t="shared" ref="M100:M131" si="36">IF(G100=0,L100,0)</f>
        <v>0</v>
      </c>
      <c r="N100" s="12">
        <f t="shared" ref="N100:N131" si="37">IF(G100=1,L100,0)</f>
        <v>0</v>
      </c>
      <c r="O100" s="12">
        <f>'Sheet 2. County Level Data'!$H98</f>
        <v>0</v>
      </c>
      <c r="P100" s="13" t="e">
        <f t="shared" ref="P100:P131" si="38">$O100/$B100</f>
        <v>#DIV/0!</v>
      </c>
      <c r="Q100" s="7">
        <f t="shared" si="29"/>
        <v>0</v>
      </c>
      <c r="R100" s="7">
        <f t="shared" si="30"/>
        <v>0</v>
      </c>
      <c r="S100" s="7" t="e">
        <f t="shared" si="31"/>
        <v>#DIV/0!</v>
      </c>
    </row>
    <row r="101" spans="1:19" x14ac:dyDescent="0.2">
      <c r="A101" s="7">
        <f>'Sheet 2. County Level Data'!$A99</f>
        <v>0</v>
      </c>
      <c r="B101" s="7">
        <f>'Sheet 2. County Level Data'!C99</f>
        <v>0</v>
      </c>
      <c r="C101" s="9" t="e">
        <f t="shared" si="27"/>
        <v>#DIV/0!</v>
      </c>
      <c r="D101" s="12">
        <f>'Sheet 2. County Level Data'!$D99</f>
        <v>0</v>
      </c>
      <c r="E101" s="13" t="e">
        <f t="shared" si="28"/>
        <v>#DIV/0!</v>
      </c>
      <c r="F101" s="12">
        <f>'Sheet 2. County Level Data'!$E99</f>
        <v>0</v>
      </c>
      <c r="G101" s="12">
        <f t="shared" si="32"/>
        <v>0</v>
      </c>
      <c r="H101" s="12">
        <f>'Sheet 2. County Level Data'!$F99</f>
        <v>0</v>
      </c>
      <c r="I101" s="13" t="e">
        <f t="shared" si="33"/>
        <v>#DIV/0!</v>
      </c>
      <c r="J101" s="14">
        <f t="shared" si="34"/>
        <v>0</v>
      </c>
      <c r="K101" s="14">
        <f t="shared" si="35"/>
        <v>0</v>
      </c>
      <c r="L101" s="12">
        <f>'Sheet 2. County Level Data'!$G99</f>
        <v>0</v>
      </c>
      <c r="M101" s="12">
        <f t="shared" si="36"/>
        <v>0</v>
      </c>
      <c r="N101" s="12">
        <f t="shared" si="37"/>
        <v>0</v>
      </c>
      <c r="O101" s="12">
        <f>'Sheet 2. County Level Data'!$H99</f>
        <v>0</v>
      </c>
      <c r="P101" s="13" t="e">
        <f t="shared" si="38"/>
        <v>#DIV/0!</v>
      </c>
      <c r="Q101" s="7">
        <f t="shared" si="29"/>
        <v>0</v>
      </c>
      <c r="R101" s="7">
        <f t="shared" si="30"/>
        <v>0</v>
      </c>
      <c r="S101" s="7" t="e">
        <f t="shared" si="31"/>
        <v>#DIV/0!</v>
      </c>
    </row>
    <row r="102" spans="1:19" x14ac:dyDescent="0.2">
      <c r="A102" s="7">
        <f>'Sheet 2. County Level Data'!$A100</f>
        <v>0</v>
      </c>
      <c r="B102" s="7">
        <f>'Sheet 2. County Level Data'!C100</f>
        <v>0</v>
      </c>
      <c r="C102" s="9" t="e">
        <f t="shared" si="27"/>
        <v>#DIV/0!</v>
      </c>
      <c r="D102" s="12">
        <f>'Sheet 2. County Level Data'!$D100</f>
        <v>0</v>
      </c>
      <c r="E102" s="13" t="e">
        <f t="shared" si="28"/>
        <v>#DIV/0!</v>
      </c>
      <c r="F102" s="12">
        <f>'Sheet 2. County Level Data'!$E100</f>
        <v>0</v>
      </c>
      <c r="G102" s="12">
        <f t="shared" si="32"/>
        <v>0</v>
      </c>
      <c r="H102" s="12">
        <f>'Sheet 2. County Level Data'!$F100</f>
        <v>0</v>
      </c>
      <c r="I102" s="13" t="e">
        <f t="shared" si="33"/>
        <v>#DIV/0!</v>
      </c>
      <c r="J102" s="14">
        <f t="shared" si="34"/>
        <v>0</v>
      </c>
      <c r="K102" s="14">
        <f t="shared" si="35"/>
        <v>0</v>
      </c>
      <c r="L102" s="12">
        <f>'Sheet 2. County Level Data'!$G100</f>
        <v>0</v>
      </c>
      <c r="M102" s="12">
        <f t="shared" si="36"/>
        <v>0</v>
      </c>
      <c r="N102" s="12">
        <f t="shared" si="37"/>
        <v>0</v>
      </c>
      <c r="O102" s="12">
        <f>'Sheet 2. County Level Data'!$H100</f>
        <v>0</v>
      </c>
      <c r="P102" s="13" t="e">
        <f t="shared" si="38"/>
        <v>#DIV/0!</v>
      </c>
      <c r="Q102" s="7">
        <f t="shared" si="29"/>
        <v>0</v>
      </c>
      <c r="R102" s="7">
        <f t="shared" si="30"/>
        <v>0</v>
      </c>
      <c r="S102" s="7" t="e">
        <f t="shared" si="31"/>
        <v>#DIV/0!</v>
      </c>
    </row>
    <row r="103" spans="1:19" x14ac:dyDescent="0.2">
      <c r="A103" s="7">
        <f>'Sheet 2. County Level Data'!$A101</f>
        <v>0</v>
      </c>
      <c r="B103" s="7">
        <f>'Sheet 2. County Level Data'!C101</f>
        <v>0</v>
      </c>
      <c r="C103" s="9" t="e">
        <f t="shared" si="27"/>
        <v>#DIV/0!</v>
      </c>
      <c r="D103" s="12">
        <f>'Sheet 2. County Level Data'!$D101</f>
        <v>0</v>
      </c>
      <c r="E103" s="13" t="e">
        <f t="shared" si="28"/>
        <v>#DIV/0!</v>
      </c>
      <c r="F103" s="12">
        <f>'Sheet 2. County Level Data'!$E101</f>
        <v>0</v>
      </c>
      <c r="G103" s="12">
        <f t="shared" si="32"/>
        <v>0</v>
      </c>
      <c r="H103" s="12">
        <f>'Sheet 2. County Level Data'!$F101</f>
        <v>0</v>
      </c>
      <c r="I103" s="13" t="e">
        <f t="shared" si="33"/>
        <v>#DIV/0!</v>
      </c>
      <c r="J103" s="14">
        <f t="shared" si="34"/>
        <v>0</v>
      </c>
      <c r="K103" s="14">
        <f t="shared" si="35"/>
        <v>0</v>
      </c>
      <c r="L103" s="12">
        <f>'Sheet 2. County Level Data'!$G101</f>
        <v>0</v>
      </c>
      <c r="M103" s="12">
        <f t="shared" si="36"/>
        <v>0</v>
      </c>
      <c r="N103" s="12">
        <f t="shared" si="37"/>
        <v>0</v>
      </c>
      <c r="O103" s="12">
        <f>'Sheet 2. County Level Data'!$H101</f>
        <v>0</v>
      </c>
      <c r="P103" s="13" t="e">
        <f t="shared" si="38"/>
        <v>#DIV/0!</v>
      </c>
      <c r="Q103" s="7">
        <f t="shared" si="29"/>
        <v>0</v>
      </c>
      <c r="R103" s="7">
        <f t="shared" si="30"/>
        <v>0</v>
      </c>
      <c r="S103" s="7" t="e">
        <f t="shared" si="31"/>
        <v>#DIV/0!</v>
      </c>
    </row>
    <row r="104" spans="1:19" x14ac:dyDescent="0.2">
      <c r="A104" s="7">
        <f>'Sheet 2. County Level Data'!$A102</f>
        <v>0</v>
      </c>
      <c r="B104" s="7">
        <f>'Sheet 2. County Level Data'!C102</f>
        <v>0</v>
      </c>
      <c r="C104" s="9" t="e">
        <f t="shared" si="27"/>
        <v>#DIV/0!</v>
      </c>
      <c r="D104" s="12">
        <f>'Sheet 2. County Level Data'!$D102</f>
        <v>0</v>
      </c>
      <c r="E104" s="13" t="e">
        <f t="shared" si="28"/>
        <v>#DIV/0!</v>
      </c>
      <c r="F104" s="12">
        <f>'Sheet 2. County Level Data'!$E102</f>
        <v>0</v>
      </c>
      <c r="G104" s="12">
        <f t="shared" si="32"/>
        <v>0</v>
      </c>
      <c r="H104" s="12">
        <f>'Sheet 2. County Level Data'!$F102</f>
        <v>0</v>
      </c>
      <c r="I104" s="13" t="e">
        <f t="shared" si="33"/>
        <v>#DIV/0!</v>
      </c>
      <c r="J104" s="14">
        <f t="shared" si="34"/>
        <v>0</v>
      </c>
      <c r="K104" s="14">
        <f t="shared" si="35"/>
        <v>0</v>
      </c>
      <c r="L104" s="12">
        <f>'Sheet 2. County Level Data'!$G102</f>
        <v>0</v>
      </c>
      <c r="M104" s="12">
        <f t="shared" si="36"/>
        <v>0</v>
      </c>
      <c r="N104" s="12">
        <f t="shared" si="37"/>
        <v>0</v>
      </c>
      <c r="O104" s="12">
        <f>'Sheet 2. County Level Data'!$H102</f>
        <v>0</v>
      </c>
      <c r="P104" s="13" t="e">
        <f t="shared" si="38"/>
        <v>#DIV/0!</v>
      </c>
      <c r="Q104" s="7">
        <f t="shared" si="29"/>
        <v>0</v>
      </c>
      <c r="R104" s="7">
        <f t="shared" si="30"/>
        <v>0</v>
      </c>
      <c r="S104" s="7" t="e">
        <f t="shared" si="31"/>
        <v>#DIV/0!</v>
      </c>
    </row>
    <row r="105" spans="1:19" x14ac:dyDescent="0.2">
      <c r="A105" s="7">
        <f>'Sheet 2. County Level Data'!$A103</f>
        <v>0</v>
      </c>
      <c r="B105" s="7">
        <f>'Sheet 2. County Level Data'!C103</f>
        <v>0</v>
      </c>
      <c r="C105" s="9" t="e">
        <f t="shared" si="27"/>
        <v>#DIV/0!</v>
      </c>
      <c r="D105" s="12">
        <f>'Sheet 2. County Level Data'!$D103</f>
        <v>0</v>
      </c>
      <c r="E105" s="13" t="e">
        <f t="shared" si="28"/>
        <v>#DIV/0!</v>
      </c>
      <c r="F105" s="12">
        <f>'Sheet 2. County Level Data'!$E103</f>
        <v>0</v>
      </c>
      <c r="G105" s="12">
        <f t="shared" si="32"/>
        <v>0</v>
      </c>
      <c r="H105" s="12">
        <f>'Sheet 2. County Level Data'!$F103</f>
        <v>0</v>
      </c>
      <c r="I105" s="13" t="e">
        <f t="shared" si="33"/>
        <v>#DIV/0!</v>
      </c>
      <c r="J105" s="14">
        <f t="shared" si="34"/>
        <v>0</v>
      </c>
      <c r="K105" s="14">
        <f t="shared" si="35"/>
        <v>0</v>
      </c>
      <c r="L105" s="12">
        <f>'Sheet 2. County Level Data'!$G103</f>
        <v>0</v>
      </c>
      <c r="M105" s="12">
        <f t="shared" si="36"/>
        <v>0</v>
      </c>
      <c r="N105" s="12">
        <f t="shared" si="37"/>
        <v>0</v>
      </c>
      <c r="O105" s="12">
        <f>'Sheet 2. County Level Data'!$H103</f>
        <v>0</v>
      </c>
      <c r="P105" s="13" t="e">
        <f t="shared" si="38"/>
        <v>#DIV/0!</v>
      </c>
      <c r="Q105" s="7">
        <f t="shared" si="29"/>
        <v>0</v>
      </c>
      <c r="R105" s="7">
        <f t="shared" si="30"/>
        <v>0</v>
      </c>
      <c r="S105" s="7" t="e">
        <f t="shared" si="31"/>
        <v>#DIV/0!</v>
      </c>
    </row>
    <row r="106" spans="1:19" x14ac:dyDescent="0.2">
      <c r="A106" s="7">
        <f>'Sheet 2. County Level Data'!$A104</f>
        <v>0</v>
      </c>
      <c r="B106" s="7">
        <f>'Sheet 2. County Level Data'!C104</f>
        <v>0</v>
      </c>
      <c r="C106" s="9" t="e">
        <f t="shared" si="27"/>
        <v>#DIV/0!</v>
      </c>
      <c r="D106" s="12">
        <f>'Sheet 2. County Level Data'!$D104</f>
        <v>0</v>
      </c>
      <c r="E106" s="13" t="e">
        <f t="shared" si="28"/>
        <v>#DIV/0!</v>
      </c>
      <c r="F106" s="12">
        <f>'Sheet 2. County Level Data'!$E104</f>
        <v>0</v>
      </c>
      <c r="G106" s="12">
        <f t="shared" si="32"/>
        <v>0</v>
      </c>
      <c r="H106" s="12">
        <f>'Sheet 2. County Level Data'!$F104</f>
        <v>0</v>
      </c>
      <c r="I106" s="13" t="e">
        <f t="shared" si="33"/>
        <v>#DIV/0!</v>
      </c>
      <c r="J106" s="14">
        <f t="shared" si="34"/>
        <v>0</v>
      </c>
      <c r="K106" s="14">
        <f t="shared" si="35"/>
        <v>0</v>
      </c>
      <c r="L106" s="12">
        <f>'Sheet 2. County Level Data'!$G104</f>
        <v>0</v>
      </c>
      <c r="M106" s="12">
        <f t="shared" si="36"/>
        <v>0</v>
      </c>
      <c r="N106" s="12">
        <f t="shared" si="37"/>
        <v>0</v>
      </c>
      <c r="O106" s="12">
        <f>'Sheet 2. County Level Data'!$H104</f>
        <v>0</v>
      </c>
      <c r="P106" s="13" t="e">
        <f t="shared" si="38"/>
        <v>#DIV/0!</v>
      </c>
      <c r="Q106" s="7">
        <f t="shared" si="29"/>
        <v>0</v>
      </c>
      <c r="R106" s="7">
        <f t="shared" si="30"/>
        <v>0</v>
      </c>
      <c r="S106" s="7" t="e">
        <f t="shared" si="31"/>
        <v>#DIV/0!</v>
      </c>
    </row>
    <row r="107" spans="1:19" x14ac:dyDescent="0.2">
      <c r="A107" s="7">
        <f>'Sheet 2. County Level Data'!$A105</f>
        <v>0</v>
      </c>
      <c r="B107" s="7">
        <f>'Sheet 2. County Level Data'!C105</f>
        <v>0</v>
      </c>
      <c r="C107" s="9" t="e">
        <f t="shared" si="27"/>
        <v>#DIV/0!</v>
      </c>
      <c r="D107" s="12">
        <f>'Sheet 2. County Level Data'!$D105</f>
        <v>0</v>
      </c>
      <c r="E107" s="13" t="e">
        <f t="shared" si="28"/>
        <v>#DIV/0!</v>
      </c>
      <c r="F107" s="12">
        <f>'Sheet 2. County Level Data'!$E105</f>
        <v>0</v>
      </c>
      <c r="G107" s="12">
        <f t="shared" si="32"/>
        <v>0</v>
      </c>
      <c r="H107" s="12">
        <f>'Sheet 2. County Level Data'!$F105</f>
        <v>0</v>
      </c>
      <c r="I107" s="13" t="e">
        <f t="shared" si="33"/>
        <v>#DIV/0!</v>
      </c>
      <c r="J107" s="14">
        <f t="shared" si="34"/>
        <v>0</v>
      </c>
      <c r="K107" s="14">
        <f t="shared" si="35"/>
        <v>0</v>
      </c>
      <c r="L107" s="12">
        <f>'Sheet 2. County Level Data'!$G105</f>
        <v>0</v>
      </c>
      <c r="M107" s="12">
        <f t="shared" si="36"/>
        <v>0</v>
      </c>
      <c r="N107" s="12">
        <f t="shared" si="37"/>
        <v>0</v>
      </c>
      <c r="O107" s="12">
        <f>'Sheet 2. County Level Data'!$H105</f>
        <v>0</v>
      </c>
      <c r="P107" s="13" t="e">
        <f t="shared" si="38"/>
        <v>#DIV/0!</v>
      </c>
      <c r="Q107" s="7">
        <f t="shared" si="29"/>
        <v>0</v>
      </c>
      <c r="R107" s="7">
        <f t="shared" si="30"/>
        <v>0</v>
      </c>
      <c r="S107" s="7" t="e">
        <f t="shared" si="31"/>
        <v>#DIV/0!</v>
      </c>
    </row>
    <row r="108" spans="1:19" x14ac:dyDescent="0.2">
      <c r="A108" s="7">
        <f>'Sheet 2. County Level Data'!$A106</f>
        <v>0</v>
      </c>
      <c r="B108" s="7">
        <f>'Sheet 2. County Level Data'!C106</f>
        <v>0</v>
      </c>
      <c r="C108" s="9" t="e">
        <f t="shared" si="27"/>
        <v>#DIV/0!</v>
      </c>
      <c r="D108" s="12">
        <f>'Sheet 2. County Level Data'!$D106</f>
        <v>0</v>
      </c>
      <c r="E108" s="13" t="e">
        <f t="shared" si="28"/>
        <v>#DIV/0!</v>
      </c>
      <c r="F108" s="12">
        <f>'Sheet 2. County Level Data'!$E106</f>
        <v>0</v>
      </c>
      <c r="G108" s="12">
        <f t="shared" si="32"/>
        <v>0</v>
      </c>
      <c r="H108" s="12">
        <f>'Sheet 2. County Level Data'!$F106</f>
        <v>0</v>
      </c>
      <c r="I108" s="13" t="e">
        <f t="shared" si="33"/>
        <v>#DIV/0!</v>
      </c>
      <c r="J108" s="14">
        <f t="shared" si="34"/>
        <v>0</v>
      </c>
      <c r="K108" s="14">
        <f t="shared" si="35"/>
        <v>0</v>
      </c>
      <c r="L108" s="12">
        <f>'Sheet 2. County Level Data'!$G106</f>
        <v>0</v>
      </c>
      <c r="M108" s="12">
        <f t="shared" si="36"/>
        <v>0</v>
      </c>
      <c r="N108" s="12">
        <f t="shared" si="37"/>
        <v>0</v>
      </c>
      <c r="O108" s="12">
        <f>'Sheet 2. County Level Data'!$H106</f>
        <v>0</v>
      </c>
      <c r="P108" s="13" t="e">
        <f t="shared" si="38"/>
        <v>#DIV/0!</v>
      </c>
      <c r="Q108" s="7">
        <f t="shared" si="29"/>
        <v>0</v>
      </c>
      <c r="R108" s="7">
        <f t="shared" si="30"/>
        <v>0</v>
      </c>
      <c r="S108" s="7" t="e">
        <f t="shared" si="31"/>
        <v>#DIV/0!</v>
      </c>
    </row>
    <row r="109" spans="1:19" x14ac:dyDescent="0.2">
      <c r="A109" s="7">
        <f>'Sheet 2. County Level Data'!$A107</f>
        <v>0</v>
      </c>
      <c r="B109" s="7">
        <f>'Sheet 2. County Level Data'!C107</f>
        <v>0</v>
      </c>
      <c r="C109" s="9" t="e">
        <f t="shared" si="27"/>
        <v>#DIV/0!</v>
      </c>
      <c r="D109" s="12">
        <f>'Sheet 2. County Level Data'!$D107</f>
        <v>0</v>
      </c>
      <c r="E109" s="13" t="e">
        <f t="shared" si="28"/>
        <v>#DIV/0!</v>
      </c>
      <c r="F109" s="12">
        <f>'Sheet 2. County Level Data'!$E107</f>
        <v>0</v>
      </c>
      <c r="G109" s="12">
        <f t="shared" si="32"/>
        <v>0</v>
      </c>
      <c r="H109" s="12">
        <f>'Sheet 2. County Level Data'!$F107</f>
        <v>0</v>
      </c>
      <c r="I109" s="13" t="e">
        <f t="shared" si="33"/>
        <v>#DIV/0!</v>
      </c>
      <c r="J109" s="14">
        <f t="shared" si="34"/>
        <v>0</v>
      </c>
      <c r="K109" s="14">
        <f t="shared" si="35"/>
        <v>0</v>
      </c>
      <c r="L109" s="12">
        <f>'Sheet 2. County Level Data'!$G107</f>
        <v>0</v>
      </c>
      <c r="M109" s="12">
        <f t="shared" si="36"/>
        <v>0</v>
      </c>
      <c r="N109" s="12">
        <f t="shared" si="37"/>
        <v>0</v>
      </c>
      <c r="O109" s="12">
        <f>'Sheet 2. County Level Data'!$H107</f>
        <v>0</v>
      </c>
      <c r="P109" s="13" t="e">
        <f t="shared" si="38"/>
        <v>#DIV/0!</v>
      </c>
      <c r="Q109" s="7">
        <f t="shared" si="29"/>
        <v>0</v>
      </c>
      <c r="R109" s="7">
        <f t="shared" si="30"/>
        <v>0</v>
      </c>
      <c r="S109" s="7" t="e">
        <f t="shared" si="31"/>
        <v>#DIV/0!</v>
      </c>
    </row>
    <row r="110" spans="1:19" x14ac:dyDescent="0.2">
      <c r="A110" s="7">
        <f>'Sheet 2. County Level Data'!$A108</f>
        <v>0</v>
      </c>
      <c r="B110" s="7">
        <f>'Sheet 2. County Level Data'!C108</f>
        <v>0</v>
      </c>
      <c r="C110" s="9" t="e">
        <f t="shared" si="27"/>
        <v>#DIV/0!</v>
      </c>
      <c r="D110" s="12">
        <f>'Sheet 2. County Level Data'!$D108</f>
        <v>0</v>
      </c>
      <c r="E110" s="13" t="e">
        <f t="shared" si="28"/>
        <v>#DIV/0!</v>
      </c>
      <c r="F110" s="12">
        <f>'Sheet 2. County Level Data'!$E108</f>
        <v>0</v>
      </c>
      <c r="G110" s="12">
        <f t="shared" si="32"/>
        <v>0</v>
      </c>
      <c r="H110" s="12">
        <f>'Sheet 2. County Level Data'!$F108</f>
        <v>0</v>
      </c>
      <c r="I110" s="13" t="e">
        <f t="shared" si="33"/>
        <v>#DIV/0!</v>
      </c>
      <c r="J110" s="14">
        <f t="shared" si="34"/>
        <v>0</v>
      </c>
      <c r="K110" s="14">
        <f t="shared" si="35"/>
        <v>0</v>
      </c>
      <c r="L110" s="12">
        <f>'Sheet 2. County Level Data'!$G108</f>
        <v>0</v>
      </c>
      <c r="M110" s="12">
        <f t="shared" si="36"/>
        <v>0</v>
      </c>
      <c r="N110" s="12">
        <f t="shared" si="37"/>
        <v>0</v>
      </c>
      <c r="O110" s="12">
        <f>'Sheet 2. County Level Data'!$H108</f>
        <v>0</v>
      </c>
      <c r="P110" s="13" t="e">
        <f t="shared" si="38"/>
        <v>#DIV/0!</v>
      </c>
      <c r="Q110" s="7">
        <f t="shared" si="29"/>
        <v>0</v>
      </c>
      <c r="R110" s="7">
        <f t="shared" si="30"/>
        <v>0</v>
      </c>
      <c r="S110" s="7" t="e">
        <f t="shared" si="31"/>
        <v>#DIV/0!</v>
      </c>
    </row>
    <row r="111" spans="1:19" x14ac:dyDescent="0.2">
      <c r="A111" s="7">
        <f>'Sheet 2. County Level Data'!$A109</f>
        <v>0</v>
      </c>
      <c r="B111" s="7">
        <f>'Sheet 2. County Level Data'!C109</f>
        <v>0</v>
      </c>
      <c r="C111" s="9" t="e">
        <f t="shared" si="27"/>
        <v>#DIV/0!</v>
      </c>
      <c r="D111" s="12">
        <f>'Sheet 2. County Level Data'!$D109</f>
        <v>0</v>
      </c>
      <c r="E111" s="13" t="e">
        <f t="shared" si="28"/>
        <v>#DIV/0!</v>
      </c>
      <c r="F111" s="12">
        <f>'Sheet 2. County Level Data'!$E109</f>
        <v>0</v>
      </c>
      <c r="G111" s="12">
        <f t="shared" si="32"/>
        <v>0</v>
      </c>
      <c r="H111" s="12">
        <f>'Sheet 2. County Level Data'!$F109</f>
        <v>0</v>
      </c>
      <c r="I111" s="13" t="e">
        <f t="shared" si="33"/>
        <v>#DIV/0!</v>
      </c>
      <c r="J111" s="14">
        <f t="shared" si="34"/>
        <v>0</v>
      </c>
      <c r="K111" s="14">
        <f t="shared" si="35"/>
        <v>0</v>
      </c>
      <c r="L111" s="12">
        <f>'Sheet 2. County Level Data'!$G109</f>
        <v>0</v>
      </c>
      <c r="M111" s="12">
        <f t="shared" si="36"/>
        <v>0</v>
      </c>
      <c r="N111" s="12">
        <f t="shared" si="37"/>
        <v>0</v>
      </c>
      <c r="O111" s="12">
        <f>'Sheet 2. County Level Data'!$H109</f>
        <v>0</v>
      </c>
      <c r="P111" s="13" t="e">
        <f t="shared" si="38"/>
        <v>#DIV/0!</v>
      </c>
      <c r="Q111" s="7">
        <f t="shared" si="29"/>
        <v>0</v>
      </c>
      <c r="R111" s="7">
        <f t="shared" si="30"/>
        <v>0</v>
      </c>
      <c r="S111" s="7" t="e">
        <f t="shared" si="31"/>
        <v>#DIV/0!</v>
      </c>
    </row>
    <row r="112" spans="1:19" x14ac:dyDescent="0.2">
      <c r="A112" s="7">
        <f>'Sheet 2. County Level Data'!$A110</f>
        <v>0</v>
      </c>
      <c r="B112" s="7">
        <f>'Sheet 2. County Level Data'!C110</f>
        <v>0</v>
      </c>
      <c r="C112" s="9" t="e">
        <f t="shared" si="27"/>
        <v>#DIV/0!</v>
      </c>
      <c r="D112" s="12">
        <f>'Sheet 2. County Level Data'!$D110</f>
        <v>0</v>
      </c>
      <c r="E112" s="13" t="e">
        <f t="shared" si="28"/>
        <v>#DIV/0!</v>
      </c>
      <c r="F112" s="12">
        <f>'Sheet 2. County Level Data'!$E110</f>
        <v>0</v>
      </c>
      <c r="G112" s="12">
        <f t="shared" si="32"/>
        <v>0</v>
      </c>
      <c r="H112" s="12">
        <f>'Sheet 2. County Level Data'!$F110</f>
        <v>0</v>
      </c>
      <c r="I112" s="13" t="e">
        <f t="shared" si="33"/>
        <v>#DIV/0!</v>
      </c>
      <c r="J112" s="14">
        <f t="shared" si="34"/>
        <v>0</v>
      </c>
      <c r="K112" s="14">
        <f t="shared" si="35"/>
        <v>0</v>
      </c>
      <c r="L112" s="12">
        <f>'Sheet 2. County Level Data'!$G110</f>
        <v>0</v>
      </c>
      <c r="M112" s="12">
        <f t="shared" si="36"/>
        <v>0</v>
      </c>
      <c r="N112" s="12">
        <f t="shared" si="37"/>
        <v>0</v>
      </c>
      <c r="O112" s="12">
        <f>'Sheet 2. County Level Data'!$H110</f>
        <v>0</v>
      </c>
      <c r="P112" s="13" t="e">
        <f t="shared" si="38"/>
        <v>#DIV/0!</v>
      </c>
      <c r="Q112" s="7">
        <f t="shared" si="29"/>
        <v>0</v>
      </c>
      <c r="R112" s="7">
        <f t="shared" si="30"/>
        <v>0</v>
      </c>
      <c r="S112" s="7" t="e">
        <f t="shared" si="31"/>
        <v>#DIV/0!</v>
      </c>
    </row>
    <row r="113" spans="1:19" x14ac:dyDescent="0.2">
      <c r="A113" s="7">
        <f>'Sheet 2. County Level Data'!$A111</f>
        <v>0</v>
      </c>
      <c r="B113" s="7">
        <f>'Sheet 2. County Level Data'!C111</f>
        <v>0</v>
      </c>
      <c r="C113" s="9" t="e">
        <f t="shared" si="27"/>
        <v>#DIV/0!</v>
      </c>
      <c r="D113" s="12">
        <f>'Sheet 2. County Level Data'!$D111</f>
        <v>0</v>
      </c>
      <c r="E113" s="13" t="e">
        <f t="shared" si="28"/>
        <v>#DIV/0!</v>
      </c>
      <c r="F113" s="12">
        <f>'Sheet 2. County Level Data'!$E111</f>
        <v>0</v>
      </c>
      <c r="G113" s="12">
        <f t="shared" si="32"/>
        <v>0</v>
      </c>
      <c r="H113" s="12">
        <f>'Sheet 2. County Level Data'!$F111</f>
        <v>0</v>
      </c>
      <c r="I113" s="13" t="e">
        <f t="shared" si="33"/>
        <v>#DIV/0!</v>
      </c>
      <c r="J113" s="14">
        <f t="shared" si="34"/>
        <v>0</v>
      </c>
      <c r="K113" s="14">
        <f t="shared" si="35"/>
        <v>0</v>
      </c>
      <c r="L113" s="12">
        <f>'Sheet 2. County Level Data'!$G111</f>
        <v>0</v>
      </c>
      <c r="M113" s="12">
        <f t="shared" si="36"/>
        <v>0</v>
      </c>
      <c r="N113" s="12">
        <f t="shared" si="37"/>
        <v>0</v>
      </c>
      <c r="O113" s="12">
        <f>'Sheet 2. County Level Data'!$H111</f>
        <v>0</v>
      </c>
      <c r="P113" s="13" t="e">
        <f t="shared" si="38"/>
        <v>#DIV/0!</v>
      </c>
      <c r="Q113" s="7">
        <f t="shared" si="29"/>
        <v>0</v>
      </c>
      <c r="R113" s="7">
        <f t="shared" si="30"/>
        <v>0</v>
      </c>
      <c r="S113" s="7" t="e">
        <f t="shared" si="31"/>
        <v>#DIV/0!</v>
      </c>
    </row>
    <row r="114" spans="1:19" x14ac:dyDescent="0.2">
      <c r="A114" s="7">
        <f>'Sheet 2. County Level Data'!$A112</f>
        <v>0</v>
      </c>
      <c r="B114" s="7">
        <f>'Sheet 2. County Level Data'!C112</f>
        <v>0</v>
      </c>
      <c r="C114" s="9" t="e">
        <f t="shared" si="27"/>
        <v>#DIV/0!</v>
      </c>
      <c r="D114" s="12">
        <f>'Sheet 2. County Level Data'!$D112</f>
        <v>0</v>
      </c>
      <c r="E114" s="13" t="e">
        <f t="shared" si="28"/>
        <v>#DIV/0!</v>
      </c>
      <c r="F114" s="12">
        <f>'Sheet 2. County Level Data'!$E112</f>
        <v>0</v>
      </c>
      <c r="G114" s="12">
        <f t="shared" si="32"/>
        <v>0</v>
      </c>
      <c r="H114" s="12">
        <f>'Sheet 2. County Level Data'!$F112</f>
        <v>0</v>
      </c>
      <c r="I114" s="13" t="e">
        <f t="shared" si="33"/>
        <v>#DIV/0!</v>
      </c>
      <c r="J114" s="14">
        <f t="shared" si="34"/>
        <v>0</v>
      </c>
      <c r="K114" s="14">
        <f t="shared" si="35"/>
        <v>0</v>
      </c>
      <c r="L114" s="12">
        <f>'Sheet 2. County Level Data'!$G112</f>
        <v>0</v>
      </c>
      <c r="M114" s="12">
        <f t="shared" si="36"/>
        <v>0</v>
      </c>
      <c r="N114" s="12">
        <f t="shared" si="37"/>
        <v>0</v>
      </c>
      <c r="O114" s="12">
        <f>'Sheet 2. County Level Data'!$H112</f>
        <v>0</v>
      </c>
      <c r="P114" s="13" t="e">
        <f t="shared" si="38"/>
        <v>#DIV/0!</v>
      </c>
      <c r="Q114" s="7">
        <f t="shared" si="29"/>
        <v>0</v>
      </c>
      <c r="R114" s="7">
        <f t="shared" si="30"/>
        <v>0</v>
      </c>
      <c r="S114" s="7" t="e">
        <f t="shared" si="31"/>
        <v>#DIV/0!</v>
      </c>
    </row>
    <row r="115" spans="1:19" x14ac:dyDescent="0.2">
      <c r="A115" s="7">
        <f>'Sheet 2. County Level Data'!$A113</f>
        <v>0</v>
      </c>
      <c r="B115" s="7">
        <f>'Sheet 2. County Level Data'!C113</f>
        <v>0</v>
      </c>
      <c r="C115" s="9" t="e">
        <f t="shared" si="27"/>
        <v>#DIV/0!</v>
      </c>
      <c r="D115" s="12">
        <f>'Sheet 2. County Level Data'!$D113</f>
        <v>0</v>
      </c>
      <c r="E115" s="13" t="e">
        <f t="shared" si="28"/>
        <v>#DIV/0!</v>
      </c>
      <c r="F115" s="12">
        <f>'Sheet 2. County Level Data'!$E113</f>
        <v>0</v>
      </c>
      <c r="G115" s="12">
        <f t="shared" si="32"/>
        <v>0</v>
      </c>
      <c r="H115" s="12">
        <f>'Sheet 2. County Level Data'!$F113</f>
        <v>0</v>
      </c>
      <c r="I115" s="13" t="e">
        <f t="shared" si="33"/>
        <v>#DIV/0!</v>
      </c>
      <c r="J115" s="14">
        <f t="shared" si="34"/>
        <v>0</v>
      </c>
      <c r="K115" s="14">
        <f t="shared" si="35"/>
        <v>0</v>
      </c>
      <c r="L115" s="12">
        <f>'Sheet 2. County Level Data'!$G113</f>
        <v>0</v>
      </c>
      <c r="M115" s="12">
        <f t="shared" si="36"/>
        <v>0</v>
      </c>
      <c r="N115" s="12">
        <f t="shared" si="37"/>
        <v>0</v>
      </c>
      <c r="O115" s="12">
        <f>'Sheet 2. County Level Data'!$H113</f>
        <v>0</v>
      </c>
      <c r="P115" s="13" t="e">
        <f t="shared" si="38"/>
        <v>#DIV/0!</v>
      </c>
      <c r="Q115" s="7">
        <f t="shared" si="29"/>
        <v>0</v>
      </c>
      <c r="R115" s="7">
        <f t="shared" si="30"/>
        <v>0</v>
      </c>
      <c r="S115" s="7" t="e">
        <f t="shared" si="31"/>
        <v>#DIV/0!</v>
      </c>
    </row>
    <row r="116" spans="1:19" x14ac:dyDescent="0.2">
      <c r="A116" s="7">
        <f>'Sheet 2. County Level Data'!$A114</f>
        <v>0</v>
      </c>
      <c r="B116" s="7">
        <f>'Sheet 2. County Level Data'!C114</f>
        <v>0</v>
      </c>
      <c r="C116" s="9" t="e">
        <f t="shared" si="27"/>
        <v>#DIV/0!</v>
      </c>
      <c r="D116" s="12">
        <f>'Sheet 2. County Level Data'!$D114</f>
        <v>0</v>
      </c>
      <c r="E116" s="13" t="e">
        <f t="shared" si="28"/>
        <v>#DIV/0!</v>
      </c>
      <c r="F116" s="12">
        <f>'Sheet 2. County Level Data'!$E114</f>
        <v>0</v>
      </c>
      <c r="G116" s="12">
        <f t="shared" si="32"/>
        <v>0</v>
      </c>
      <c r="H116" s="12">
        <f>'Sheet 2. County Level Data'!$F114</f>
        <v>0</v>
      </c>
      <c r="I116" s="13" t="e">
        <f t="shared" si="33"/>
        <v>#DIV/0!</v>
      </c>
      <c r="J116" s="14">
        <f t="shared" si="34"/>
        <v>0</v>
      </c>
      <c r="K116" s="14">
        <f t="shared" si="35"/>
        <v>0</v>
      </c>
      <c r="L116" s="12">
        <f>'Sheet 2. County Level Data'!$G114</f>
        <v>0</v>
      </c>
      <c r="M116" s="12">
        <f t="shared" si="36"/>
        <v>0</v>
      </c>
      <c r="N116" s="12">
        <f t="shared" si="37"/>
        <v>0</v>
      </c>
      <c r="O116" s="12">
        <f>'Sheet 2. County Level Data'!$H114</f>
        <v>0</v>
      </c>
      <c r="P116" s="13" t="e">
        <f t="shared" si="38"/>
        <v>#DIV/0!</v>
      </c>
      <c r="Q116" s="7">
        <f t="shared" si="29"/>
        <v>0</v>
      </c>
      <c r="R116" s="7">
        <f t="shared" si="30"/>
        <v>0</v>
      </c>
      <c r="S116" s="7" t="e">
        <f t="shared" si="31"/>
        <v>#DIV/0!</v>
      </c>
    </row>
    <row r="117" spans="1:19" x14ac:dyDescent="0.2">
      <c r="A117" s="7">
        <f>'Sheet 2. County Level Data'!$A115</f>
        <v>0</v>
      </c>
      <c r="B117" s="7">
        <f>'Sheet 2. County Level Data'!C115</f>
        <v>0</v>
      </c>
      <c r="C117" s="9" t="e">
        <f t="shared" si="27"/>
        <v>#DIV/0!</v>
      </c>
      <c r="D117" s="12">
        <f>'Sheet 2. County Level Data'!$D115</f>
        <v>0</v>
      </c>
      <c r="E117" s="13" t="e">
        <f t="shared" si="28"/>
        <v>#DIV/0!</v>
      </c>
      <c r="F117" s="12">
        <f>'Sheet 2. County Level Data'!$E115</f>
        <v>0</v>
      </c>
      <c r="G117" s="12">
        <f t="shared" si="32"/>
        <v>0</v>
      </c>
      <c r="H117" s="12">
        <f>'Sheet 2. County Level Data'!$F115</f>
        <v>0</v>
      </c>
      <c r="I117" s="13" t="e">
        <f t="shared" si="33"/>
        <v>#DIV/0!</v>
      </c>
      <c r="J117" s="14">
        <f t="shared" si="34"/>
        <v>0</v>
      </c>
      <c r="K117" s="14">
        <f t="shared" si="35"/>
        <v>0</v>
      </c>
      <c r="L117" s="12">
        <f>'Sheet 2. County Level Data'!$G115</f>
        <v>0</v>
      </c>
      <c r="M117" s="12">
        <f t="shared" si="36"/>
        <v>0</v>
      </c>
      <c r="N117" s="12">
        <f t="shared" si="37"/>
        <v>0</v>
      </c>
      <c r="O117" s="12">
        <f>'Sheet 2. County Level Data'!$H115</f>
        <v>0</v>
      </c>
      <c r="P117" s="13" t="e">
        <f t="shared" si="38"/>
        <v>#DIV/0!</v>
      </c>
      <c r="Q117" s="7">
        <f t="shared" si="29"/>
        <v>0</v>
      </c>
      <c r="R117" s="7">
        <f t="shared" si="30"/>
        <v>0</v>
      </c>
      <c r="S117" s="7" t="e">
        <f t="shared" si="31"/>
        <v>#DIV/0!</v>
      </c>
    </row>
    <row r="118" spans="1:19" x14ac:dyDescent="0.2">
      <c r="A118" s="7">
        <f>'Sheet 2. County Level Data'!$A116</f>
        <v>0</v>
      </c>
      <c r="B118" s="7">
        <f>'Sheet 2. County Level Data'!C116</f>
        <v>0</v>
      </c>
      <c r="C118" s="9" t="e">
        <f t="shared" si="27"/>
        <v>#DIV/0!</v>
      </c>
      <c r="D118" s="12">
        <f>'Sheet 2. County Level Data'!$D116</f>
        <v>0</v>
      </c>
      <c r="E118" s="13" t="e">
        <f t="shared" si="28"/>
        <v>#DIV/0!</v>
      </c>
      <c r="F118" s="12">
        <f>'Sheet 2. County Level Data'!$E116</f>
        <v>0</v>
      </c>
      <c r="G118" s="12">
        <f t="shared" si="32"/>
        <v>0</v>
      </c>
      <c r="H118" s="12">
        <f>'Sheet 2. County Level Data'!$F116</f>
        <v>0</v>
      </c>
      <c r="I118" s="13" t="e">
        <f t="shared" si="33"/>
        <v>#DIV/0!</v>
      </c>
      <c r="J118" s="14">
        <f t="shared" si="34"/>
        <v>0</v>
      </c>
      <c r="K118" s="14">
        <f t="shared" si="35"/>
        <v>0</v>
      </c>
      <c r="L118" s="12">
        <f>'Sheet 2. County Level Data'!$G116</f>
        <v>0</v>
      </c>
      <c r="M118" s="12">
        <f t="shared" si="36"/>
        <v>0</v>
      </c>
      <c r="N118" s="12">
        <f t="shared" si="37"/>
        <v>0</v>
      </c>
      <c r="O118" s="12">
        <f>'Sheet 2. County Level Data'!$H116</f>
        <v>0</v>
      </c>
      <c r="P118" s="13" t="e">
        <f t="shared" si="38"/>
        <v>#DIV/0!</v>
      </c>
      <c r="Q118" s="7">
        <f t="shared" si="29"/>
        <v>0</v>
      </c>
      <c r="R118" s="7">
        <f t="shared" si="30"/>
        <v>0</v>
      </c>
      <c r="S118" s="7" t="e">
        <f t="shared" si="31"/>
        <v>#DIV/0!</v>
      </c>
    </row>
    <row r="119" spans="1:19" x14ac:dyDescent="0.2">
      <c r="A119" s="7">
        <f>'Sheet 2. County Level Data'!$A117</f>
        <v>0</v>
      </c>
      <c r="B119" s="7">
        <f>'Sheet 2. County Level Data'!C117</f>
        <v>0</v>
      </c>
      <c r="C119" s="9" t="e">
        <f t="shared" si="27"/>
        <v>#DIV/0!</v>
      </c>
      <c r="D119" s="12">
        <f>'Sheet 2. County Level Data'!$D117</f>
        <v>0</v>
      </c>
      <c r="E119" s="13" t="e">
        <f t="shared" si="28"/>
        <v>#DIV/0!</v>
      </c>
      <c r="F119" s="12">
        <f>'Sheet 2. County Level Data'!$E117</f>
        <v>0</v>
      </c>
      <c r="G119" s="12">
        <f t="shared" si="32"/>
        <v>0</v>
      </c>
      <c r="H119" s="12">
        <f>'Sheet 2. County Level Data'!$F117</f>
        <v>0</v>
      </c>
      <c r="I119" s="13" t="e">
        <f t="shared" si="33"/>
        <v>#DIV/0!</v>
      </c>
      <c r="J119" s="14">
        <f t="shared" si="34"/>
        <v>0</v>
      </c>
      <c r="K119" s="14">
        <f t="shared" si="35"/>
        <v>0</v>
      </c>
      <c r="L119" s="12">
        <f>'Sheet 2. County Level Data'!$G117</f>
        <v>0</v>
      </c>
      <c r="M119" s="12">
        <f t="shared" si="36"/>
        <v>0</v>
      </c>
      <c r="N119" s="12">
        <f t="shared" si="37"/>
        <v>0</v>
      </c>
      <c r="O119" s="12">
        <f>'Sheet 2. County Level Data'!$H117</f>
        <v>0</v>
      </c>
      <c r="P119" s="13" t="e">
        <f t="shared" si="38"/>
        <v>#DIV/0!</v>
      </c>
      <c r="Q119" s="7">
        <f t="shared" si="29"/>
        <v>0</v>
      </c>
      <c r="R119" s="7">
        <f t="shared" si="30"/>
        <v>0</v>
      </c>
      <c r="S119" s="7" t="e">
        <f t="shared" si="31"/>
        <v>#DIV/0!</v>
      </c>
    </row>
    <row r="120" spans="1:19" x14ac:dyDescent="0.2">
      <c r="A120" s="7">
        <f>'Sheet 2. County Level Data'!$A118</f>
        <v>0</v>
      </c>
      <c r="B120" s="7">
        <f>'Sheet 2. County Level Data'!C118</f>
        <v>0</v>
      </c>
      <c r="C120" s="9" t="e">
        <f t="shared" si="27"/>
        <v>#DIV/0!</v>
      </c>
      <c r="D120" s="12">
        <f>'Sheet 2. County Level Data'!$D118</f>
        <v>0</v>
      </c>
      <c r="E120" s="13" t="e">
        <f t="shared" si="28"/>
        <v>#DIV/0!</v>
      </c>
      <c r="F120" s="12">
        <f>'Sheet 2. County Level Data'!$E118</f>
        <v>0</v>
      </c>
      <c r="G120" s="12">
        <f t="shared" si="32"/>
        <v>0</v>
      </c>
      <c r="H120" s="12">
        <f>'Sheet 2. County Level Data'!$F118</f>
        <v>0</v>
      </c>
      <c r="I120" s="13" t="e">
        <f t="shared" si="33"/>
        <v>#DIV/0!</v>
      </c>
      <c r="J120" s="14">
        <f t="shared" si="34"/>
        <v>0</v>
      </c>
      <c r="K120" s="14">
        <f t="shared" si="35"/>
        <v>0</v>
      </c>
      <c r="L120" s="12">
        <f>'Sheet 2. County Level Data'!$G118</f>
        <v>0</v>
      </c>
      <c r="M120" s="12">
        <f t="shared" si="36"/>
        <v>0</v>
      </c>
      <c r="N120" s="12">
        <f t="shared" si="37"/>
        <v>0</v>
      </c>
      <c r="O120" s="12">
        <f>'Sheet 2. County Level Data'!$H118</f>
        <v>0</v>
      </c>
      <c r="P120" s="13" t="e">
        <f t="shared" si="38"/>
        <v>#DIV/0!</v>
      </c>
      <c r="Q120" s="7">
        <f t="shared" si="29"/>
        <v>0</v>
      </c>
      <c r="R120" s="7">
        <f t="shared" si="30"/>
        <v>0</v>
      </c>
      <c r="S120" s="7" t="e">
        <f t="shared" si="31"/>
        <v>#DIV/0!</v>
      </c>
    </row>
    <row r="121" spans="1:19" x14ac:dyDescent="0.2">
      <c r="A121" s="7">
        <f>'Sheet 2. County Level Data'!$A119</f>
        <v>0</v>
      </c>
      <c r="B121" s="7">
        <f>'Sheet 2. County Level Data'!C119</f>
        <v>0</v>
      </c>
      <c r="C121" s="9" t="e">
        <f t="shared" si="27"/>
        <v>#DIV/0!</v>
      </c>
      <c r="D121" s="12">
        <f>'Sheet 2. County Level Data'!$D119</f>
        <v>0</v>
      </c>
      <c r="E121" s="13" t="e">
        <f t="shared" si="28"/>
        <v>#DIV/0!</v>
      </c>
      <c r="F121" s="12">
        <f>'Sheet 2. County Level Data'!$E119</f>
        <v>0</v>
      </c>
      <c r="G121" s="12">
        <f t="shared" si="32"/>
        <v>0</v>
      </c>
      <c r="H121" s="12">
        <f>'Sheet 2. County Level Data'!$F119</f>
        <v>0</v>
      </c>
      <c r="I121" s="13" t="e">
        <f t="shared" si="33"/>
        <v>#DIV/0!</v>
      </c>
      <c r="J121" s="14">
        <f t="shared" si="34"/>
        <v>0</v>
      </c>
      <c r="K121" s="14">
        <f t="shared" si="35"/>
        <v>0</v>
      </c>
      <c r="L121" s="12">
        <f>'Sheet 2. County Level Data'!$G119</f>
        <v>0</v>
      </c>
      <c r="M121" s="12">
        <f t="shared" si="36"/>
        <v>0</v>
      </c>
      <c r="N121" s="12">
        <f t="shared" si="37"/>
        <v>0</v>
      </c>
      <c r="O121" s="12">
        <f>'Sheet 2. County Level Data'!$H119</f>
        <v>0</v>
      </c>
      <c r="P121" s="13" t="e">
        <f t="shared" si="38"/>
        <v>#DIV/0!</v>
      </c>
      <c r="Q121" s="7">
        <f t="shared" si="29"/>
        <v>0</v>
      </c>
      <c r="R121" s="7">
        <f t="shared" si="30"/>
        <v>0</v>
      </c>
      <c r="S121" s="7" t="e">
        <f t="shared" si="31"/>
        <v>#DIV/0!</v>
      </c>
    </row>
    <row r="122" spans="1:19" x14ac:dyDescent="0.2">
      <c r="A122" s="7">
        <f>'Sheet 2. County Level Data'!$A120</f>
        <v>0</v>
      </c>
      <c r="B122" s="7">
        <f>'Sheet 2. County Level Data'!C120</f>
        <v>0</v>
      </c>
      <c r="C122" s="9" t="e">
        <f t="shared" si="27"/>
        <v>#DIV/0!</v>
      </c>
      <c r="D122" s="12">
        <f>'Sheet 2. County Level Data'!$D120</f>
        <v>0</v>
      </c>
      <c r="E122" s="13" t="e">
        <f t="shared" si="28"/>
        <v>#DIV/0!</v>
      </c>
      <c r="F122" s="12">
        <f>'Sheet 2. County Level Data'!$E120</f>
        <v>0</v>
      </c>
      <c r="G122" s="12">
        <f t="shared" si="32"/>
        <v>0</v>
      </c>
      <c r="H122" s="12">
        <f>'Sheet 2. County Level Data'!$F120</f>
        <v>0</v>
      </c>
      <c r="I122" s="13" t="e">
        <f t="shared" si="33"/>
        <v>#DIV/0!</v>
      </c>
      <c r="J122" s="14">
        <f t="shared" si="34"/>
        <v>0</v>
      </c>
      <c r="K122" s="14">
        <f t="shared" si="35"/>
        <v>0</v>
      </c>
      <c r="L122" s="12">
        <f>'Sheet 2. County Level Data'!$G120</f>
        <v>0</v>
      </c>
      <c r="M122" s="12">
        <f t="shared" si="36"/>
        <v>0</v>
      </c>
      <c r="N122" s="12">
        <f t="shared" si="37"/>
        <v>0</v>
      </c>
      <c r="O122" s="12">
        <f>'Sheet 2. County Level Data'!$H120</f>
        <v>0</v>
      </c>
      <c r="P122" s="13" t="e">
        <f t="shared" si="38"/>
        <v>#DIV/0!</v>
      </c>
      <c r="Q122" s="7">
        <f t="shared" si="29"/>
        <v>0</v>
      </c>
      <c r="R122" s="7">
        <f t="shared" si="30"/>
        <v>0</v>
      </c>
      <c r="S122" s="7" t="e">
        <f t="shared" si="31"/>
        <v>#DIV/0!</v>
      </c>
    </row>
    <row r="123" spans="1:19" x14ac:dyDescent="0.2">
      <c r="A123" s="7">
        <f>'Sheet 2. County Level Data'!$A121</f>
        <v>0</v>
      </c>
      <c r="B123" s="7">
        <f>'Sheet 2. County Level Data'!C121</f>
        <v>0</v>
      </c>
      <c r="C123" s="9" t="e">
        <f t="shared" si="27"/>
        <v>#DIV/0!</v>
      </c>
      <c r="D123" s="12">
        <f>'Sheet 2. County Level Data'!$D121</f>
        <v>0</v>
      </c>
      <c r="E123" s="13" t="e">
        <f t="shared" si="28"/>
        <v>#DIV/0!</v>
      </c>
      <c r="F123" s="12">
        <f>'Sheet 2. County Level Data'!$E121</f>
        <v>0</v>
      </c>
      <c r="G123" s="12">
        <f t="shared" si="32"/>
        <v>0</v>
      </c>
      <c r="H123" s="12">
        <f>'Sheet 2. County Level Data'!$F121</f>
        <v>0</v>
      </c>
      <c r="I123" s="13" t="e">
        <f t="shared" si="33"/>
        <v>#DIV/0!</v>
      </c>
      <c r="J123" s="14">
        <f t="shared" si="34"/>
        <v>0</v>
      </c>
      <c r="K123" s="14">
        <f t="shared" si="35"/>
        <v>0</v>
      </c>
      <c r="L123" s="12">
        <f>'Sheet 2. County Level Data'!$G121</f>
        <v>0</v>
      </c>
      <c r="M123" s="12">
        <f t="shared" si="36"/>
        <v>0</v>
      </c>
      <c r="N123" s="12">
        <f t="shared" si="37"/>
        <v>0</v>
      </c>
      <c r="O123" s="12">
        <f>'Sheet 2. County Level Data'!$H121</f>
        <v>0</v>
      </c>
      <c r="P123" s="13" t="e">
        <f t="shared" si="38"/>
        <v>#DIV/0!</v>
      </c>
      <c r="Q123" s="7">
        <f t="shared" si="29"/>
        <v>0</v>
      </c>
      <c r="R123" s="7">
        <f t="shared" si="30"/>
        <v>0</v>
      </c>
      <c r="S123" s="7" t="e">
        <f t="shared" si="31"/>
        <v>#DIV/0!</v>
      </c>
    </row>
    <row r="124" spans="1:19" x14ac:dyDescent="0.2">
      <c r="A124" s="7">
        <f>'Sheet 2. County Level Data'!$A122</f>
        <v>0</v>
      </c>
      <c r="B124" s="7">
        <f>'Sheet 2. County Level Data'!C122</f>
        <v>0</v>
      </c>
      <c r="C124" s="9" t="e">
        <f t="shared" si="27"/>
        <v>#DIV/0!</v>
      </c>
      <c r="D124" s="12">
        <f>'Sheet 2. County Level Data'!$D122</f>
        <v>0</v>
      </c>
      <c r="E124" s="13" t="e">
        <f t="shared" si="28"/>
        <v>#DIV/0!</v>
      </c>
      <c r="F124" s="12">
        <f>'Sheet 2. County Level Data'!$E122</f>
        <v>0</v>
      </c>
      <c r="G124" s="12">
        <f t="shared" si="32"/>
        <v>0</v>
      </c>
      <c r="H124" s="12">
        <f>'Sheet 2. County Level Data'!$F122</f>
        <v>0</v>
      </c>
      <c r="I124" s="13" t="e">
        <f t="shared" si="33"/>
        <v>#DIV/0!</v>
      </c>
      <c r="J124" s="14">
        <f t="shared" si="34"/>
        <v>0</v>
      </c>
      <c r="K124" s="14">
        <f t="shared" si="35"/>
        <v>0</v>
      </c>
      <c r="L124" s="12">
        <f>'Sheet 2. County Level Data'!$G122</f>
        <v>0</v>
      </c>
      <c r="M124" s="12">
        <f t="shared" si="36"/>
        <v>0</v>
      </c>
      <c r="N124" s="12">
        <f t="shared" si="37"/>
        <v>0</v>
      </c>
      <c r="O124" s="12">
        <f>'Sheet 2. County Level Data'!$H122</f>
        <v>0</v>
      </c>
      <c r="P124" s="13" t="e">
        <f t="shared" si="38"/>
        <v>#DIV/0!</v>
      </c>
      <c r="Q124" s="7">
        <f t="shared" si="29"/>
        <v>0</v>
      </c>
      <c r="R124" s="7">
        <f t="shared" si="30"/>
        <v>0</v>
      </c>
      <c r="S124" s="7" t="e">
        <f t="shared" si="31"/>
        <v>#DIV/0!</v>
      </c>
    </row>
    <row r="125" spans="1:19" x14ac:dyDescent="0.2">
      <c r="A125" s="7">
        <f>'Sheet 2. County Level Data'!$A123</f>
        <v>0</v>
      </c>
      <c r="B125" s="7">
        <f>'Sheet 2. County Level Data'!C123</f>
        <v>0</v>
      </c>
      <c r="C125" s="9" t="e">
        <f t="shared" si="27"/>
        <v>#DIV/0!</v>
      </c>
      <c r="D125" s="12">
        <f>'Sheet 2. County Level Data'!$D123</f>
        <v>0</v>
      </c>
      <c r="E125" s="13" t="e">
        <f t="shared" si="28"/>
        <v>#DIV/0!</v>
      </c>
      <c r="F125" s="12">
        <f>'Sheet 2. County Level Data'!$E123</f>
        <v>0</v>
      </c>
      <c r="G125" s="12">
        <f t="shared" si="32"/>
        <v>0</v>
      </c>
      <c r="H125" s="12">
        <f>'Sheet 2. County Level Data'!$F123</f>
        <v>0</v>
      </c>
      <c r="I125" s="13" t="e">
        <f t="shared" si="33"/>
        <v>#DIV/0!</v>
      </c>
      <c r="J125" s="14">
        <f t="shared" si="34"/>
        <v>0</v>
      </c>
      <c r="K125" s="14">
        <f t="shared" si="35"/>
        <v>0</v>
      </c>
      <c r="L125" s="12">
        <f>'Sheet 2. County Level Data'!$G123</f>
        <v>0</v>
      </c>
      <c r="M125" s="12">
        <f t="shared" si="36"/>
        <v>0</v>
      </c>
      <c r="N125" s="12">
        <f t="shared" si="37"/>
        <v>0</v>
      </c>
      <c r="O125" s="12">
        <f>'Sheet 2. County Level Data'!$H123</f>
        <v>0</v>
      </c>
      <c r="P125" s="13" t="e">
        <f t="shared" si="38"/>
        <v>#DIV/0!</v>
      </c>
      <c r="Q125" s="7">
        <f t="shared" si="29"/>
        <v>0</v>
      </c>
      <c r="R125" s="7">
        <f t="shared" si="30"/>
        <v>0</v>
      </c>
      <c r="S125" s="7" t="e">
        <f t="shared" si="31"/>
        <v>#DIV/0!</v>
      </c>
    </row>
    <row r="126" spans="1:19" x14ac:dyDescent="0.2">
      <c r="A126" s="7">
        <f>'Sheet 2. County Level Data'!$A124</f>
        <v>0</v>
      </c>
      <c r="B126" s="7">
        <f>'Sheet 2. County Level Data'!C124</f>
        <v>0</v>
      </c>
      <c r="C126" s="9" t="e">
        <f t="shared" si="27"/>
        <v>#DIV/0!</v>
      </c>
      <c r="D126" s="12">
        <f>'Sheet 2. County Level Data'!$D124</f>
        <v>0</v>
      </c>
      <c r="E126" s="13" t="e">
        <f t="shared" si="28"/>
        <v>#DIV/0!</v>
      </c>
      <c r="F126" s="12">
        <f>'Sheet 2. County Level Data'!$E124</f>
        <v>0</v>
      </c>
      <c r="G126" s="12">
        <f t="shared" si="32"/>
        <v>0</v>
      </c>
      <c r="H126" s="12">
        <f>'Sheet 2. County Level Data'!$F124</f>
        <v>0</v>
      </c>
      <c r="I126" s="13" t="e">
        <f t="shared" si="33"/>
        <v>#DIV/0!</v>
      </c>
      <c r="J126" s="14">
        <f t="shared" si="34"/>
        <v>0</v>
      </c>
      <c r="K126" s="14">
        <f t="shared" si="35"/>
        <v>0</v>
      </c>
      <c r="L126" s="12">
        <f>'Sheet 2. County Level Data'!$G124</f>
        <v>0</v>
      </c>
      <c r="M126" s="12">
        <f t="shared" si="36"/>
        <v>0</v>
      </c>
      <c r="N126" s="12">
        <f t="shared" si="37"/>
        <v>0</v>
      </c>
      <c r="O126" s="12">
        <f>'Sheet 2. County Level Data'!$H124</f>
        <v>0</v>
      </c>
      <c r="P126" s="13" t="e">
        <f t="shared" si="38"/>
        <v>#DIV/0!</v>
      </c>
      <c r="Q126" s="7">
        <f t="shared" si="29"/>
        <v>0</v>
      </c>
      <c r="R126" s="7">
        <f t="shared" si="30"/>
        <v>0</v>
      </c>
      <c r="S126" s="7" t="e">
        <f t="shared" si="31"/>
        <v>#DIV/0!</v>
      </c>
    </row>
    <row r="127" spans="1:19" x14ac:dyDescent="0.2">
      <c r="A127" s="7">
        <f>'Sheet 2. County Level Data'!$A125</f>
        <v>0</v>
      </c>
      <c r="B127" s="7">
        <f>'Sheet 2. County Level Data'!C125</f>
        <v>0</v>
      </c>
      <c r="C127" s="9" t="e">
        <f t="shared" si="27"/>
        <v>#DIV/0!</v>
      </c>
      <c r="D127" s="12">
        <f>'Sheet 2. County Level Data'!$D125</f>
        <v>0</v>
      </c>
      <c r="E127" s="13" t="e">
        <f t="shared" si="28"/>
        <v>#DIV/0!</v>
      </c>
      <c r="F127" s="12">
        <f>'Sheet 2. County Level Data'!$E125</f>
        <v>0</v>
      </c>
      <c r="G127" s="12">
        <f t="shared" si="32"/>
        <v>0</v>
      </c>
      <c r="H127" s="12">
        <f>'Sheet 2. County Level Data'!$F125</f>
        <v>0</v>
      </c>
      <c r="I127" s="13" t="e">
        <f t="shared" si="33"/>
        <v>#DIV/0!</v>
      </c>
      <c r="J127" s="14">
        <f t="shared" si="34"/>
        <v>0</v>
      </c>
      <c r="K127" s="14">
        <f t="shared" si="35"/>
        <v>0</v>
      </c>
      <c r="L127" s="12">
        <f>'Sheet 2. County Level Data'!$G125</f>
        <v>0</v>
      </c>
      <c r="M127" s="12">
        <f t="shared" si="36"/>
        <v>0</v>
      </c>
      <c r="N127" s="12">
        <f t="shared" si="37"/>
        <v>0</v>
      </c>
      <c r="O127" s="12">
        <f>'Sheet 2. County Level Data'!$H125</f>
        <v>0</v>
      </c>
      <c r="P127" s="13" t="e">
        <f t="shared" si="38"/>
        <v>#DIV/0!</v>
      </c>
      <c r="Q127" s="7">
        <f t="shared" si="29"/>
        <v>0</v>
      </c>
      <c r="R127" s="7">
        <f t="shared" si="30"/>
        <v>0</v>
      </c>
      <c r="S127" s="7" t="e">
        <f t="shared" si="31"/>
        <v>#DIV/0!</v>
      </c>
    </row>
    <row r="128" spans="1:19" x14ac:dyDescent="0.2">
      <c r="A128" s="7">
        <f>'Sheet 2. County Level Data'!$A126</f>
        <v>0</v>
      </c>
      <c r="B128" s="7">
        <f>'Sheet 2. County Level Data'!C126</f>
        <v>0</v>
      </c>
      <c r="C128" s="9" t="e">
        <f t="shared" si="27"/>
        <v>#DIV/0!</v>
      </c>
      <c r="D128" s="12">
        <f>'Sheet 2. County Level Data'!$D126</f>
        <v>0</v>
      </c>
      <c r="E128" s="13" t="e">
        <f t="shared" si="28"/>
        <v>#DIV/0!</v>
      </c>
      <c r="F128" s="12">
        <f>'Sheet 2. County Level Data'!$E126</f>
        <v>0</v>
      </c>
      <c r="G128" s="12">
        <f t="shared" si="32"/>
        <v>0</v>
      </c>
      <c r="H128" s="12">
        <f>'Sheet 2. County Level Data'!$F126</f>
        <v>0</v>
      </c>
      <c r="I128" s="13" t="e">
        <f t="shared" si="33"/>
        <v>#DIV/0!</v>
      </c>
      <c r="J128" s="14">
        <f t="shared" si="34"/>
        <v>0</v>
      </c>
      <c r="K128" s="14">
        <f t="shared" si="35"/>
        <v>0</v>
      </c>
      <c r="L128" s="12">
        <f>'Sheet 2. County Level Data'!$G126</f>
        <v>0</v>
      </c>
      <c r="M128" s="12">
        <f t="shared" si="36"/>
        <v>0</v>
      </c>
      <c r="N128" s="12">
        <f t="shared" si="37"/>
        <v>0</v>
      </c>
      <c r="O128" s="12">
        <f>'Sheet 2. County Level Data'!$H126</f>
        <v>0</v>
      </c>
      <c r="P128" s="13" t="e">
        <f t="shared" si="38"/>
        <v>#DIV/0!</v>
      </c>
      <c r="Q128" s="7">
        <f t="shared" si="29"/>
        <v>0</v>
      </c>
      <c r="R128" s="7">
        <f t="shared" si="30"/>
        <v>0</v>
      </c>
      <c r="S128" s="7" t="e">
        <f t="shared" si="31"/>
        <v>#DIV/0!</v>
      </c>
    </row>
    <row r="129" spans="1:19" x14ac:dyDescent="0.2">
      <c r="A129" s="7">
        <f>'Sheet 2. County Level Data'!$A127</f>
        <v>0</v>
      </c>
      <c r="B129" s="7">
        <f>'Sheet 2. County Level Data'!C127</f>
        <v>0</v>
      </c>
      <c r="C129" s="9" t="e">
        <f t="shared" si="27"/>
        <v>#DIV/0!</v>
      </c>
      <c r="D129" s="12">
        <f>'Sheet 2. County Level Data'!$D127</f>
        <v>0</v>
      </c>
      <c r="E129" s="13" t="e">
        <f t="shared" si="28"/>
        <v>#DIV/0!</v>
      </c>
      <c r="F129" s="12">
        <f>'Sheet 2. County Level Data'!$E127</f>
        <v>0</v>
      </c>
      <c r="G129" s="12">
        <f t="shared" si="32"/>
        <v>0</v>
      </c>
      <c r="H129" s="12">
        <f>'Sheet 2. County Level Data'!$F127</f>
        <v>0</v>
      </c>
      <c r="I129" s="13" t="e">
        <f t="shared" si="33"/>
        <v>#DIV/0!</v>
      </c>
      <c r="J129" s="14">
        <f t="shared" si="34"/>
        <v>0</v>
      </c>
      <c r="K129" s="14">
        <f t="shared" si="35"/>
        <v>0</v>
      </c>
      <c r="L129" s="12">
        <f>'Sheet 2. County Level Data'!$G127</f>
        <v>0</v>
      </c>
      <c r="M129" s="12">
        <f t="shared" si="36"/>
        <v>0</v>
      </c>
      <c r="N129" s="12">
        <f t="shared" si="37"/>
        <v>0</v>
      </c>
      <c r="O129" s="12">
        <f>'Sheet 2. County Level Data'!$H127</f>
        <v>0</v>
      </c>
      <c r="P129" s="13" t="e">
        <f t="shared" si="38"/>
        <v>#DIV/0!</v>
      </c>
      <c r="Q129" s="7">
        <f t="shared" si="29"/>
        <v>0</v>
      </c>
      <c r="R129" s="7">
        <f t="shared" si="30"/>
        <v>0</v>
      </c>
      <c r="S129" s="7" t="e">
        <f t="shared" si="31"/>
        <v>#DIV/0!</v>
      </c>
    </row>
    <row r="130" spans="1:19" x14ac:dyDescent="0.2">
      <c r="A130" s="7">
        <f>'Sheet 2. County Level Data'!$A128</f>
        <v>0</v>
      </c>
      <c r="B130" s="7">
        <f>'Sheet 2. County Level Data'!C128</f>
        <v>0</v>
      </c>
      <c r="C130" s="9" t="e">
        <f t="shared" si="27"/>
        <v>#DIV/0!</v>
      </c>
      <c r="D130" s="12">
        <f>'Sheet 2. County Level Data'!$D128</f>
        <v>0</v>
      </c>
      <c r="E130" s="13" t="e">
        <f t="shared" si="28"/>
        <v>#DIV/0!</v>
      </c>
      <c r="F130" s="12">
        <f>'Sheet 2. County Level Data'!$E128</f>
        <v>0</v>
      </c>
      <c r="G130" s="12">
        <f t="shared" si="32"/>
        <v>0</v>
      </c>
      <c r="H130" s="12">
        <f>'Sheet 2. County Level Data'!$F128</f>
        <v>0</v>
      </c>
      <c r="I130" s="13" t="e">
        <f t="shared" si="33"/>
        <v>#DIV/0!</v>
      </c>
      <c r="J130" s="14">
        <f t="shared" si="34"/>
        <v>0</v>
      </c>
      <c r="K130" s="14">
        <f t="shared" si="35"/>
        <v>0</v>
      </c>
      <c r="L130" s="12">
        <f>'Sheet 2. County Level Data'!$G128</f>
        <v>0</v>
      </c>
      <c r="M130" s="12">
        <f t="shared" si="36"/>
        <v>0</v>
      </c>
      <c r="N130" s="12">
        <f t="shared" si="37"/>
        <v>0</v>
      </c>
      <c r="O130" s="12">
        <f>'Sheet 2. County Level Data'!$H128</f>
        <v>0</v>
      </c>
      <c r="P130" s="13" t="e">
        <f t="shared" si="38"/>
        <v>#DIV/0!</v>
      </c>
      <c r="Q130" s="7">
        <f t="shared" si="29"/>
        <v>0</v>
      </c>
      <c r="R130" s="7">
        <f t="shared" si="30"/>
        <v>0</v>
      </c>
      <c r="S130" s="7" t="e">
        <f t="shared" si="31"/>
        <v>#DIV/0!</v>
      </c>
    </row>
    <row r="131" spans="1:19" x14ac:dyDescent="0.2">
      <c r="A131" s="7">
        <f>'Sheet 2. County Level Data'!$A129</f>
        <v>0</v>
      </c>
      <c r="B131" s="7">
        <f>'Sheet 2. County Level Data'!C129</f>
        <v>0</v>
      </c>
      <c r="C131" s="9" t="e">
        <f t="shared" si="27"/>
        <v>#DIV/0!</v>
      </c>
      <c r="D131" s="12">
        <f>'Sheet 2. County Level Data'!$D129</f>
        <v>0</v>
      </c>
      <c r="E131" s="13" t="e">
        <f t="shared" si="28"/>
        <v>#DIV/0!</v>
      </c>
      <c r="F131" s="12">
        <f>'Sheet 2. County Level Data'!$E129</f>
        <v>0</v>
      </c>
      <c r="G131" s="12">
        <f t="shared" si="32"/>
        <v>0</v>
      </c>
      <c r="H131" s="12">
        <f>'Sheet 2. County Level Data'!$F129</f>
        <v>0</v>
      </c>
      <c r="I131" s="13" t="e">
        <f t="shared" si="33"/>
        <v>#DIV/0!</v>
      </c>
      <c r="J131" s="14">
        <f t="shared" si="34"/>
        <v>0</v>
      </c>
      <c r="K131" s="14">
        <f t="shared" si="35"/>
        <v>0</v>
      </c>
      <c r="L131" s="12">
        <f>'Sheet 2. County Level Data'!$G129</f>
        <v>0</v>
      </c>
      <c r="M131" s="12">
        <f t="shared" si="36"/>
        <v>0</v>
      </c>
      <c r="N131" s="12">
        <f t="shared" si="37"/>
        <v>0</v>
      </c>
      <c r="O131" s="12">
        <f>'Sheet 2. County Level Data'!$H129</f>
        <v>0</v>
      </c>
      <c r="P131" s="13" t="e">
        <f t="shared" si="38"/>
        <v>#DIV/0!</v>
      </c>
      <c r="Q131" s="7">
        <f t="shared" si="29"/>
        <v>0</v>
      </c>
      <c r="R131" s="7">
        <f t="shared" si="30"/>
        <v>0</v>
      </c>
      <c r="S131" s="7" t="e">
        <f t="shared" si="31"/>
        <v>#DIV/0!</v>
      </c>
    </row>
    <row r="132" spans="1:19" x14ac:dyDescent="0.2">
      <c r="A132" s="7">
        <f>'Sheet 2. County Level Data'!$A130</f>
        <v>0</v>
      </c>
      <c r="B132" s="7">
        <f>'Sheet 2. County Level Data'!C130</f>
        <v>0</v>
      </c>
      <c r="C132" s="9" t="e">
        <f t="shared" si="27"/>
        <v>#DIV/0!</v>
      </c>
      <c r="D132" s="12">
        <f>'Sheet 2. County Level Data'!$D130</f>
        <v>0</v>
      </c>
      <c r="E132" s="13" t="e">
        <f t="shared" si="28"/>
        <v>#DIV/0!</v>
      </c>
      <c r="F132" s="12">
        <f>'Sheet 2. County Level Data'!$E130</f>
        <v>0</v>
      </c>
      <c r="G132" s="12">
        <f t="shared" ref="G132:G162" si="39">IF(F132&gt;=4,1,0)</f>
        <v>0</v>
      </c>
      <c r="H132" s="12">
        <f>'Sheet 2. County Level Data'!$F130</f>
        <v>0</v>
      </c>
      <c r="I132" s="13" t="e">
        <f t="shared" ref="I132:I162" si="40">$H132/$B132</f>
        <v>#DIV/0!</v>
      </c>
      <c r="J132" s="14">
        <f t="shared" ref="J132:J162" si="41">IF(G132=0,H132,0)</f>
        <v>0</v>
      </c>
      <c r="K132" s="14">
        <f t="shared" ref="K132:K162" si="42">IF(G132=1,H132,0)</f>
        <v>0</v>
      </c>
      <c r="L132" s="12">
        <f>'Sheet 2. County Level Data'!$G130</f>
        <v>0</v>
      </c>
      <c r="M132" s="12">
        <f t="shared" ref="M132:M162" si="43">IF(G132=0,L132,0)</f>
        <v>0</v>
      </c>
      <c r="N132" s="12">
        <f t="shared" ref="N132:N162" si="44">IF(G132=1,L132,0)</f>
        <v>0</v>
      </c>
      <c r="O132" s="12">
        <f>'Sheet 2. County Level Data'!$H130</f>
        <v>0</v>
      </c>
      <c r="P132" s="13" t="e">
        <f t="shared" ref="P132:P162" si="45">$O132/$B132</f>
        <v>#DIV/0!</v>
      </c>
      <c r="Q132" s="7">
        <f t="shared" si="29"/>
        <v>0</v>
      </c>
      <c r="R132" s="7">
        <f t="shared" si="30"/>
        <v>0</v>
      </c>
      <c r="S132" s="7" t="e">
        <f t="shared" si="31"/>
        <v>#DIV/0!</v>
      </c>
    </row>
    <row r="133" spans="1:19" x14ac:dyDescent="0.2">
      <c r="A133" s="7">
        <f>'Sheet 2. County Level Data'!$A131</f>
        <v>0</v>
      </c>
      <c r="B133" s="7">
        <f>'Sheet 2. County Level Data'!C131</f>
        <v>0</v>
      </c>
      <c r="C133" s="9" t="e">
        <f t="shared" ref="C133:C162" si="46">$B133/$B$2</f>
        <v>#DIV/0!</v>
      </c>
      <c r="D133" s="12">
        <f>'Sheet 2. County Level Data'!$D131</f>
        <v>0</v>
      </c>
      <c r="E133" s="13" t="e">
        <f t="shared" ref="E133:E162" si="47">D133/B133</f>
        <v>#DIV/0!</v>
      </c>
      <c r="F133" s="12">
        <f>'Sheet 2. County Level Data'!$E131</f>
        <v>0</v>
      </c>
      <c r="G133" s="12">
        <f t="shared" si="39"/>
        <v>0</v>
      </c>
      <c r="H133" s="12">
        <f>'Sheet 2. County Level Data'!$F131</f>
        <v>0</v>
      </c>
      <c r="I133" s="13" t="e">
        <f t="shared" si="40"/>
        <v>#DIV/0!</v>
      </c>
      <c r="J133" s="14">
        <f t="shared" si="41"/>
        <v>0</v>
      </c>
      <c r="K133" s="14">
        <f t="shared" si="42"/>
        <v>0</v>
      </c>
      <c r="L133" s="12">
        <f>'Sheet 2. County Level Data'!$G131</f>
        <v>0</v>
      </c>
      <c r="M133" s="12">
        <f t="shared" si="43"/>
        <v>0</v>
      </c>
      <c r="N133" s="12">
        <f t="shared" si="44"/>
        <v>0</v>
      </c>
      <c r="O133" s="12">
        <f>'Sheet 2. County Level Data'!$H131</f>
        <v>0</v>
      </c>
      <c r="P133" s="13" t="e">
        <f t="shared" si="45"/>
        <v>#DIV/0!</v>
      </c>
      <c r="Q133" s="7">
        <f t="shared" ref="Q133:Q162" si="48">IF(G133=0,O133,0)</f>
        <v>0</v>
      </c>
      <c r="R133" s="7">
        <f t="shared" ref="R133:R162" si="49">IF(G133=1,O133,0)</f>
        <v>0</v>
      </c>
      <c r="S133" s="7" t="e">
        <f t="shared" ref="S133:S162" si="50">D133/B133</f>
        <v>#DIV/0!</v>
      </c>
    </row>
    <row r="134" spans="1:19" x14ac:dyDescent="0.2">
      <c r="A134" s="7">
        <f>'Sheet 2. County Level Data'!$A132</f>
        <v>0</v>
      </c>
      <c r="B134" s="7">
        <f>'Sheet 2. County Level Data'!C132</f>
        <v>0</v>
      </c>
      <c r="C134" s="9" t="e">
        <f t="shared" si="46"/>
        <v>#DIV/0!</v>
      </c>
      <c r="D134" s="12">
        <f>'Sheet 2. County Level Data'!$D132</f>
        <v>0</v>
      </c>
      <c r="E134" s="13" t="e">
        <f t="shared" si="47"/>
        <v>#DIV/0!</v>
      </c>
      <c r="F134" s="12">
        <f>'Sheet 2. County Level Data'!$E132</f>
        <v>0</v>
      </c>
      <c r="G134" s="12">
        <f t="shared" si="39"/>
        <v>0</v>
      </c>
      <c r="H134" s="12">
        <f>'Sheet 2. County Level Data'!$F132</f>
        <v>0</v>
      </c>
      <c r="I134" s="13" t="e">
        <f t="shared" si="40"/>
        <v>#DIV/0!</v>
      </c>
      <c r="J134" s="14">
        <f t="shared" si="41"/>
        <v>0</v>
      </c>
      <c r="K134" s="14">
        <f t="shared" si="42"/>
        <v>0</v>
      </c>
      <c r="L134" s="12">
        <f>'Sheet 2. County Level Data'!$G132</f>
        <v>0</v>
      </c>
      <c r="M134" s="12">
        <f t="shared" si="43"/>
        <v>0</v>
      </c>
      <c r="N134" s="12">
        <f t="shared" si="44"/>
        <v>0</v>
      </c>
      <c r="O134" s="12">
        <f>'Sheet 2. County Level Data'!$H132</f>
        <v>0</v>
      </c>
      <c r="P134" s="13" t="e">
        <f t="shared" si="45"/>
        <v>#DIV/0!</v>
      </c>
      <c r="Q134" s="7">
        <f t="shared" si="48"/>
        <v>0</v>
      </c>
      <c r="R134" s="7">
        <f t="shared" si="49"/>
        <v>0</v>
      </c>
      <c r="S134" s="7" t="e">
        <f t="shared" si="50"/>
        <v>#DIV/0!</v>
      </c>
    </row>
    <row r="135" spans="1:19" x14ac:dyDescent="0.2">
      <c r="A135" s="7">
        <f>'Sheet 2. County Level Data'!$A133</f>
        <v>0</v>
      </c>
      <c r="B135" s="7">
        <f>'Sheet 2. County Level Data'!C133</f>
        <v>0</v>
      </c>
      <c r="C135" s="9" t="e">
        <f t="shared" si="46"/>
        <v>#DIV/0!</v>
      </c>
      <c r="D135" s="12">
        <f>'Sheet 2. County Level Data'!$D133</f>
        <v>0</v>
      </c>
      <c r="E135" s="13" t="e">
        <f t="shared" si="47"/>
        <v>#DIV/0!</v>
      </c>
      <c r="F135" s="12">
        <f>'Sheet 2. County Level Data'!$E133</f>
        <v>0</v>
      </c>
      <c r="G135" s="12">
        <f t="shared" si="39"/>
        <v>0</v>
      </c>
      <c r="H135" s="12">
        <f>'Sheet 2. County Level Data'!$F133</f>
        <v>0</v>
      </c>
      <c r="I135" s="13" t="e">
        <f t="shared" si="40"/>
        <v>#DIV/0!</v>
      </c>
      <c r="J135" s="14">
        <f t="shared" si="41"/>
        <v>0</v>
      </c>
      <c r="K135" s="14">
        <f t="shared" si="42"/>
        <v>0</v>
      </c>
      <c r="L135" s="12">
        <f>'Sheet 2. County Level Data'!$G133</f>
        <v>0</v>
      </c>
      <c r="M135" s="12">
        <f t="shared" si="43"/>
        <v>0</v>
      </c>
      <c r="N135" s="12">
        <f t="shared" si="44"/>
        <v>0</v>
      </c>
      <c r="O135" s="12">
        <f>'Sheet 2. County Level Data'!$H133</f>
        <v>0</v>
      </c>
      <c r="P135" s="13" t="e">
        <f t="shared" si="45"/>
        <v>#DIV/0!</v>
      </c>
      <c r="Q135" s="7">
        <f t="shared" si="48"/>
        <v>0</v>
      </c>
      <c r="R135" s="7">
        <f t="shared" si="49"/>
        <v>0</v>
      </c>
      <c r="S135" s="7" t="e">
        <f t="shared" si="50"/>
        <v>#DIV/0!</v>
      </c>
    </row>
    <row r="136" spans="1:19" x14ac:dyDescent="0.2">
      <c r="A136" s="7">
        <f>'Sheet 2. County Level Data'!$A134</f>
        <v>0</v>
      </c>
      <c r="B136" s="7">
        <f>'Sheet 2. County Level Data'!C134</f>
        <v>0</v>
      </c>
      <c r="C136" s="9" t="e">
        <f t="shared" si="46"/>
        <v>#DIV/0!</v>
      </c>
      <c r="D136" s="12">
        <f>'Sheet 2. County Level Data'!$D134</f>
        <v>0</v>
      </c>
      <c r="E136" s="13" t="e">
        <f t="shared" si="47"/>
        <v>#DIV/0!</v>
      </c>
      <c r="F136" s="12">
        <f>'Sheet 2. County Level Data'!$E134</f>
        <v>0</v>
      </c>
      <c r="G136" s="12">
        <f t="shared" si="39"/>
        <v>0</v>
      </c>
      <c r="H136" s="12">
        <f>'Sheet 2. County Level Data'!$F134</f>
        <v>0</v>
      </c>
      <c r="I136" s="13" t="e">
        <f t="shared" si="40"/>
        <v>#DIV/0!</v>
      </c>
      <c r="J136" s="14">
        <f t="shared" si="41"/>
        <v>0</v>
      </c>
      <c r="K136" s="14">
        <f t="shared" si="42"/>
        <v>0</v>
      </c>
      <c r="L136" s="12">
        <f>'Sheet 2. County Level Data'!$G134</f>
        <v>0</v>
      </c>
      <c r="M136" s="12">
        <f t="shared" si="43"/>
        <v>0</v>
      </c>
      <c r="N136" s="12">
        <f t="shared" si="44"/>
        <v>0</v>
      </c>
      <c r="O136" s="12">
        <f>'Sheet 2. County Level Data'!$H134</f>
        <v>0</v>
      </c>
      <c r="P136" s="13" t="e">
        <f t="shared" si="45"/>
        <v>#DIV/0!</v>
      </c>
      <c r="Q136" s="7">
        <f t="shared" si="48"/>
        <v>0</v>
      </c>
      <c r="R136" s="7">
        <f t="shared" si="49"/>
        <v>0</v>
      </c>
      <c r="S136" s="7" t="e">
        <f t="shared" si="50"/>
        <v>#DIV/0!</v>
      </c>
    </row>
    <row r="137" spans="1:19" x14ac:dyDescent="0.2">
      <c r="A137" s="7">
        <f>'Sheet 2. County Level Data'!$A135</f>
        <v>0</v>
      </c>
      <c r="B137" s="7">
        <f>'Sheet 2. County Level Data'!C135</f>
        <v>0</v>
      </c>
      <c r="C137" s="9" t="e">
        <f t="shared" si="46"/>
        <v>#DIV/0!</v>
      </c>
      <c r="D137" s="12">
        <f>'Sheet 2. County Level Data'!$D135</f>
        <v>0</v>
      </c>
      <c r="E137" s="13" t="e">
        <f t="shared" si="47"/>
        <v>#DIV/0!</v>
      </c>
      <c r="F137" s="12">
        <f>'Sheet 2. County Level Data'!$E135</f>
        <v>0</v>
      </c>
      <c r="G137" s="12">
        <f t="shared" si="39"/>
        <v>0</v>
      </c>
      <c r="H137" s="12">
        <f>'Sheet 2. County Level Data'!$F135</f>
        <v>0</v>
      </c>
      <c r="I137" s="13" t="e">
        <f t="shared" si="40"/>
        <v>#DIV/0!</v>
      </c>
      <c r="J137" s="14">
        <f t="shared" si="41"/>
        <v>0</v>
      </c>
      <c r="K137" s="14">
        <f t="shared" si="42"/>
        <v>0</v>
      </c>
      <c r="L137" s="12">
        <f>'Sheet 2. County Level Data'!$G135</f>
        <v>0</v>
      </c>
      <c r="M137" s="12">
        <f t="shared" si="43"/>
        <v>0</v>
      </c>
      <c r="N137" s="12">
        <f t="shared" si="44"/>
        <v>0</v>
      </c>
      <c r="O137" s="12">
        <f>'Sheet 2. County Level Data'!$H135</f>
        <v>0</v>
      </c>
      <c r="P137" s="13" t="e">
        <f t="shared" si="45"/>
        <v>#DIV/0!</v>
      </c>
      <c r="Q137" s="7">
        <f t="shared" si="48"/>
        <v>0</v>
      </c>
      <c r="R137" s="7">
        <f t="shared" si="49"/>
        <v>0</v>
      </c>
      <c r="S137" s="7" t="e">
        <f t="shared" si="50"/>
        <v>#DIV/0!</v>
      </c>
    </row>
    <row r="138" spans="1:19" x14ac:dyDescent="0.2">
      <c r="A138" s="7">
        <f>'Sheet 2. County Level Data'!$A136</f>
        <v>0</v>
      </c>
      <c r="B138" s="7">
        <f>'Sheet 2. County Level Data'!C136</f>
        <v>0</v>
      </c>
      <c r="C138" s="9" t="e">
        <f t="shared" si="46"/>
        <v>#DIV/0!</v>
      </c>
      <c r="D138" s="12">
        <f>'Sheet 2. County Level Data'!$D136</f>
        <v>0</v>
      </c>
      <c r="E138" s="13" t="e">
        <f t="shared" si="47"/>
        <v>#DIV/0!</v>
      </c>
      <c r="F138" s="12">
        <f>'Sheet 2. County Level Data'!$E136</f>
        <v>0</v>
      </c>
      <c r="G138" s="12">
        <f t="shared" si="39"/>
        <v>0</v>
      </c>
      <c r="H138" s="12">
        <f>'Sheet 2. County Level Data'!$F136</f>
        <v>0</v>
      </c>
      <c r="I138" s="13" t="e">
        <f t="shared" si="40"/>
        <v>#DIV/0!</v>
      </c>
      <c r="J138" s="14">
        <f t="shared" si="41"/>
        <v>0</v>
      </c>
      <c r="K138" s="14">
        <f t="shared" si="42"/>
        <v>0</v>
      </c>
      <c r="L138" s="12">
        <f>'Sheet 2. County Level Data'!$G136</f>
        <v>0</v>
      </c>
      <c r="M138" s="12">
        <f t="shared" si="43"/>
        <v>0</v>
      </c>
      <c r="N138" s="12">
        <f t="shared" si="44"/>
        <v>0</v>
      </c>
      <c r="O138" s="12">
        <f>'Sheet 2. County Level Data'!$H136</f>
        <v>0</v>
      </c>
      <c r="P138" s="13" t="e">
        <f t="shared" si="45"/>
        <v>#DIV/0!</v>
      </c>
      <c r="Q138" s="7">
        <f t="shared" si="48"/>
        <v>0</v>
      </c>
      <c r="R138" s="7">
        <f t="shared" si="49"/>
        <v>0</v>
      </c>
      <c r="S138" s="7" t="e">
        <f t="shared" si="50"/>
        <v>#DIV/0!</v>
      </c>
    </row>
    <row r="139" spans="1:19" x14ac:dyDescent="0.2">
      <c r="A139" s="7">
        <f>'Sheet 2. County Level Data'!$A137</f>
        <v>0</v>
      </c>
      <c r="B139" s="7">
        <f>'Sheet 2. County Level Data'!C137</f>
        <v>0</v>
      </c>
      <c r="C139" s="9" t="e">
        <f t="shared" si="46"/>
        <v>#DIV/0!</v>
      </c>
      <c r="D139" s="12">
        <f>'Sheet 2. County Level Data'!$D137</f>
        <v>0</v>
      </c>
      <c r="E139" s="13" t="e">
        <f t="shared" si="47"/>
        <v>#DIV/0!</v>
      </c>
      <c r="F139" s="12">
        <f>'Sheet 2. County Level Data'!$E137</f>
        <v>0</v>
      </c>
      <c r="G139" s="12">
        <f t="shared" si="39"/>
        <v>0</v>
      </c>
      <c r="H139" s="12">
        <f>'Sheet 2. County Level Data'!$F137</f>
        <v>0</v>
      </c>
      <c r="I139" s="13" t="e">
        <f t="shared" si="40"/>
        <v>#DIV/0!</v>
      </c>
      <c r="J139" s="14">
        <f t="shared" si="41"/>
        <v>0</v>
      </c>
      <c r="K139" s="14">
        <f t="shared" si="42"/>
        <v>0</v>
      </c>
      <c r="L139" s="12">
        <f>'Sheet 2. County Level Data'!$G137</f>
        <v>0</v>
      </c>
      <c r="M139" s="12">
        <f t="shared" si="43"/>
        <v>0</v>
      </c>
      <c r="N139" s="12">
        <f t="shared" si="44"/>
        <v>0</v>
      </c>
      <c r="O139" s="12">
        <f>'Sheet 2. County Level Data'!$H137</f>
        <v>0</v>
      </c>
      <c r="P139" s="13" t="e">
        <f t="shared" si="45"/>
        <v>#DIV/0!</v>
      </c>
      <c r="Q139" s="7">
        <f t="shared" si="48"/>
        <v>0</v>
      </c>
      <c r="R139" s="7">
        <f t="shared" si="49"/>
        <v>0</v>
      </c>
      <c r="S139" s="7" t="e">
        <f t="shared" si="50"/>
        <v>#DIV/0!</v>
      </c>
    </row>
    <row r="140" spans="1:19" x14ac:dyDescent="0.2">
      <c r="A140" s="7">
        <f>'Sheet 2. County Level Data'!$A138</f>
        <v>0</v>
      </c>
      <c r="B140" s="7">
        <f>'Sheet 2. County Level Data'!C138</f>
        <v>0</v>
      </c>
      <c r="C140" s="9" t="e">
        <f t="shared" si="46"/>
        <v>#DIV/0!</v>
      </c>
      <c r="D140" s="12">
        <f>'Sheet 2. County Level Data'!$D138</f>
        <v>0</v>
      </c>
      <c r="E140" s="13" t="e">
        <f t="shared" si="47"/>
        <v>#DIV/0!</v>
      </c>
      <c r="F140" s="12">
        <f>'Sheet 2. County Level Data'!$E138</f>
        <v>0</v>
      </c>
      <c r="G140" s="12">
        <f t="shared" si="39"/>
        <v>0</v>
      </c>
      <c r="H140" s="12">
        <f>'Sheet 2. County Level Data'!$F138</f>
        <v>0</v>
      </c>
      <c r="I140" s="13" t="e">
        <f t="shared" si="40"/>
        <v>#DIV/0!</v>
      </c>
      <c r="J140" s="14">
        <f t="shared" si="41"/>
        <v>0</v>
      </c>
      <c r="K140" s="14">
        <f t="shared" si="42"/>
        <v>0</v>
      </c>
      <c r="L140" s="12">
        <f>'Sheet 2. County Level Data'!$G138</f>
        <v>0</v>
      </c>
      <c r="M140" s="12">
        <f t="shared" si="43"/>
        <v>0</v>
      </c>
      <c r="N140" s="12">
        <f t="shared" si="44"/>
        <v>0</v>
      </c>
      <c r="O140" s="12">
        <f>'Sheet 2. County Level Data'!$H138</f>
        <v>0</v>
      </c>
      <c r="P140" s="13" t="e">
        <f t="shared" si="45"/>
        <v>#DIV/0!</v>
      </c>
      <c r="Q140" s="7">
        <f t="shared" si="48"/>
        <v>0</v>
      </c>
      <c r="R140" s="7">
        <f t="shared" si="49"/>
        <v>0</v>
      </c>
      <c r="S140" s="7" t="e">
        <f t="shared" si="50"/>
        <v>#DIV/0!</v>
      </c>
    </row>
    <row r="141" spans="1:19" x14ac:dyDescent="0.2">
      <c r="A141" s="7">
        <f>'Sheet 2. County Level Data'!$A139</f>
        <v>0</v>
      </c>
      <c r="B141" s="7">
        <f>'Sheet 2. County Level Data'!C139</f>
        <v>0</v>
      </c>
      <c r="C141" s="9" t="e">
        <f t="shared" si="46"/>
        <v>#DIV/0!</v>
      </c>
      <c r="D141" s="12">
        <f>'Sheet 2. County Level Data'!$D139</f>
        <v>0</v>
      </c>
      <c r="E141" s="13" t="e">
        <f t="shared" si="47"/>
        <v>#DIV/0!</v>
      </c>
      <c r="F141" s="12">
        <f>'Sheet 2. County Level Data'!$E139</f>
        <v>0</v>
      </c>
      <c r="G141" s="12">
        <f t="shared" si="39"/>
        <v>0</v>
      </c>
      <c r="H141" s="12">
        <f>'Sheet 2. County Level Data'!$F139</f>
        <v>0</v>
      </c>
      <c r="I141" s="13" t="e">
        <f t="shared" si="40"/>
        <v>#DIV/0!</v>
      </c>
      <c r="J141" s="14">
        <f t="shared" si="41"/>
        <v>0</v>
      </c>
      <c r="K141" s="14">
        <f t="shared" si="42"/>
        <v>0</v>
      </c>
      <c r="L141" s="12">
        <f>'Sheet 2. County Level Data'!$G139</f>
        <v>0</v>
      </c>
      <c r="M141" s="12">
        <f t="shared" si="43"/>
        <v>0</v>
      </c>
      <c r="N141" s="12">
        <f t="shared" si="44"/>
        <v>0</v>
      </c>
      <c r="O141" s="12">
        <f>'Sheet 2. County Level Data'!$H139</f>
        <v>0</v>
      </c>
      <c r="P141" s="13" t="e">
        <f t="shared" si="45"/>
        <v>#DIV/0!</v>
      </c>
      <c r="Q141" s="7">
        <f t="shared" si="48"/>
        <v>0</v>
      </c>
      <c r="R141" s="7">
        <f t="shared" si="49"/>
        <v>0</v>
      </c>
      <c r="S141" s="7" t="e">
        <f t="shared" si="50"/>
        <v>#DIV/0!</v>
      </c>
    </row>
    <row r="142" spans="1:19" x14ac:dyDescent="0.2">
      <c r="A142" s="7">
        <f>'Sheet 2. County Level Data'!$A140</f>
        <v>0</v>
      </c>
      <c r="B142" s="7">
        <f>'Sheet 2. County Level Data'!C140</f>
        <v>0</v>
      </c>
      <c r="C142" s="9" t="e">
        <f t="shared" si="46"/>
        <v>#DIV/0!</v>
      </c>
      <c r="D142" s="12">
        <f>'Sheet 2. County Level Data'!$D140</f>
        <v>0</v>
      </c>
      <c r="E142" s="13" t="e">
        <f t="shared" si="47"/>
        <v>#DIV/0!</v>
      </c>
      <c r="F142" s="12">
        <f>'Sheet 2. County Level Data'!$E140</f>
        <v>0</v>
      </c>
      <c r="G142" s="12">
        <f t="shared" si="39"/>
        <v>0</v>
      </c>
      <c r="H142" s="12">
        <f>'Sheet 2. County Level Data'!$F140</f>
        <v>0</v>
      </c>
      <c r="I142" s="13" t="e">
        <f t="shared" si="40"/>
        <v>#DIV/0!</v>
      </c>
      <c r="J142" s="14">
        <f t="shared" si="41"/>
        <v>0</v>
      </c>
      <c r="K142" s="14">
        <f t="shared" si="42"/>
        <v>0</v>
      </c>
      <c r="L142" s="12">
        <f>'Sheet 2. County Level Data'!$G140</f>
        <v>0</v>
      </c>
      <c r="M142" s="12">
        <f t="shared" si="43"/>
        <v>0</v>
      </c>
      <c r="N142" s="12">
        <f t="shared" si="44"/>
        <v>0</v>
      </c>
      <c r="O142" s="12">
        <f>'Sheet 2. County Level Data'!$H140</f>
        <v>0</v>
      </c>
      <c r="P142" s="13" t="e">
        <f t="shared" si="45"/>
        <v>#DIV/0!</v>
      </c>
      <c r="Q142" s="7">
        <f t="shared" si="48"/>
        <v>0</v>
      </c>
      <c r="R142" s="7">
        <f t="shared" si="49"/>
        <v>0</v>
      </c>
      <c r="S142" s="7" t="e">
        <f t="shared" si="50"/>
        <v>#DIV/0!</v>
      </c>
    </row>
    <row r="143" spans="1:19" x14ac:dyDescent="0.2">
      <c r="A143" s="7">
        <f>'Sheet 2. County Level Data'!$A141</f>
        <v>0</v>
      </c>
      <c r="B143" s="7">
        <f>'Sheet 2. County Level Data'!C141</f>
        <v>0</v>
      </c>
      <c r="C143" s="9" t="e">
        <f t="shared" si="46"/>
        <v>#DIV/0!</v>
      </c>
      <c r="D143" s="12">
        <f>'Sheet 2. County Level Data'!$D141</f>
        <v>0</v>
      </c>
      <c r="E143" s="13" t="e">
        <f t="shared" si="47"/>
        <v>#DIV/0!</v>
      </c>
      <c r="F143" s="12">
        <f>'Sheet 2. County Level Data'!$E141</f>
        <v>0</v>
      </c>
      <c r="G143" s="12">
        <f t="shared" si="39"/>
        <v>0</v>
      </c>
      <c r="H143" s="12">
        <f>'Sheet 2. County Level Data'!$F141</f>
        <v>0</v>
      </c>
      <c r="I143" s="13" t="e">
        <f t="shared" si="40"/>
        <v>#DIV/0!</v>
      </c>
      <c r="J143" s="14">
        <f t="shared" si="41"/>
        <v>0</v>
      </c>
      <c r="K143" s="14">
        <f t="shared" si="42"/>
        <v>0</v>
      </c>
      <c r="L143" s="12">
        <f>'Sheet 2. County Level Data'!$G141</f>
        <v>0</v>
      </c>
      <c r="M143" s="12">
        <f t="shared" si="43"/>
        <v>0</v>
      </c>
      <c r="N143" s="12">
        <f t="shared" si="44"/>
        <v>0</v>
      </c>
      <c r="O143" s="12">
        <f>'Sheet 2. County Level Data'!$H141</f>
        <v>0</v>
      </c>
      <c r="P143" s="13" t="e">
        <f t="shared" si="45"/>
        <v>#DIV/0!</v>
      </c>
      <c r="Q143" s="7">
        <f t="shared" si="48"/>
        <v>0</v>
      </c>
      <c r="R143" s="7">
        <f t="shared" si="49"/>
        <v>0</v>
      </c>
      <c r="S143" s="7" t="e">
        <f t="shared" si="50"/>
        <v>#DIV/0!</v>
      </c>
    </row>
    <row r="144" spans="1:19" x14ac:dyDescent="0.2">
      <c r="A144" s="7">
        <f>'Sheet 2. County Level Data'!$A142</f>
        <v>0</v>
      </c>
      <c r="B144" s="7">
        <f>'Sheet 2. County Level Data'!C142</f>
        <v>0</v>
      </c>
      <c r="C144" s="9" t="e">
        <f t="shared" si="46"/>
        <v>#DIV/0!</v>
      </c>
      <c r="D144" s="12">
        <f>'Sheet 2. County Level Data'!$D142</f>
        <v>0</v>
      </c>
      <c r="E144" s="13" t="e">
        <f t="shared" si="47"/>
        <v>#DIV/0!</v>
      </c>
      <c r="F144" s="12">
        <f>'Sheet 2. County Level Data'!$E142</f>
        <v>0</v>
      </c>
      <c r="G144" s="12">
        <f t="shared" si="39"/>
        <v>0</v>
      </c>
      <c r="H144" s="12">
        <f>'Sheet 2. County Level Data'!$F142</f>
        <v>0</v>
      </c>
      <c r="I144" s="13" t="e">
        <f t="shared" si="40"/>
        <v>#DIV/0!</v>
      </c>
      <c r="J144" s="14">
        <f t="shared" si="41"/>
        <v>0</v>
      </c>
      <c r="K144" s="14">
        <f t="shared" si="42"/>
        <v>0</v>
      </c>
      <c r="L144" s="12">
        <f>'Sheet 2. County Level Data'!$G142</f>
        <v>0</v>
      </c>
      <c r="M144" s="12">
        <f t="shared" si="43"/>
        <v>0</v>
      </c>
      <c r="N144" s="12">
        <f t="shared" si="44"/>
        <v>0</v>
      </c>
      <c r="O144" s="12">
        <f>'Sheet 2. County Level Data'!$H142</f>
        <v>0</v>
      </c>
      <c r="P144" s="13" t="e">
        <f t="shared" si="45"/>
        <v>#DIV/0!</v>
      </c>
      <c r="Q144" s="7">
        <f t="shared" si="48"/>
        <v>0</v>
      </c>
      <c r="R144" s="7">
        <f t="shared" si="49"/>
        <v>0</v>
      </c>
      <c r="S144" s="7" t="e">
        <f t="shared" si="50"/>
        <v>#DIV/0!</v>
      </c>
    </row>
    <row r="145" spans="1:19" x14ac:dyDescent="0.2">
      <c r="A145" s="7">
        <f>'Sheet 2. County Level Data'!$A143</f>
        <v>0</v>
      </c>
      <c r="B145" s="7">
        <f>'Sheet 2. County Level Data'!C143</f>
        <v>0</v>
      </c>
      <c r="C145" s="9" t="e">
        <f t="shared" si="46"/>
        <v>#DIV/0!</v>
      </c>
      <c r="D145" s="12">
        <f>'Sheet 2. County Level Data'!$D143</f>
        <v>0</v>
      </c>
      <c r="E145" s="13" t="e">
        <f t="shared" si="47"/>
        <v>#DIV/0!</v>
      </c>
      <c r="F145" s="12">
        <f>'Sheet 2. County Level Data'!$E143</f>
        <v>0</v>
      </c>
      <c r="G145" s="12">
        <f t="shared" si="39"/>
        <v>0</v>
      </c>
      <c r="H145" s="12">
        <f>'Sheet 2. County Level Data'!$F143</f>
        <v>0</v>
      </c>
      <c r="I145" s="13" t="e">
        <f t="shared" si="40"/>
        <v>#DIV/0!</v>
      </c>
      <c r="J145" s="14">
        <f t="shared" si="41"/>
        <v>0</v>
      </c>
      <c r="K145" s="14">
        <f t="shared" si="42"/>
        <v>0</v>
      </c>
      <c r="L145" s="12">
        <f>'Sheet 2. County Level Data'!$G143</f>
        <v>0</v>
      </c>
      <c r="M145" s="12">
        <f t="shared" si="43"/>
        <v>0</v>
      </c>
      <c r="N145" s="12">
        <f t="shared" si="44"/>
        <v>0</v>
      </c>
      <c r="O145" s="12">
        <f>'Sheet 2. County Level Data'!$H143</f>
        <v>0</v>
      </c>
      <c r="P145" s="13" t="e">
        <f t="shared" si="45"/>
        <v>#DIV/0!</v>
      </c>
      <c r="Q145" s="7">
        <f t="shared" si="48"/>
        <v>0</v>
      </c>
      <c r="R145" s="7">
        <f t="shared" si="49"/>
        <v>0</v>
      </c>
      <c r="S145" s="7" t="e">
        <f t="shared" si="50"/>
        <v>#DIV/0!</v>
      </c>
    </row>
    <row r="146" spans="1:19" x14ac:dyDescent="0.2">
      <c r="A146" s="7">
        <f>'Sheet 2. County Level Data'!$A144</f>
        <v>0</v>
      </c>
      <c r="B146" s="7">
        <f>'Sheet 2. County Level Data'!C144</f>
        <v>0</v>
      </c>
      <c r="C146" s="9" t="e">
        <f t="shared" si="46"/>
        <v>#DIV/0!</v>
      </c>
      <c r="D146" s="12">
        <f>'Sheet 2. County Level Data'!$D144</f>
        <v>0</v>
      </c>
      <c r="E146" s="13" t="e">
        <f t="shared" si="47"/>
        <v>#DIV/0!</v>
      </c>
      <c r="F146" s="12">
        <f>'Sheet 2. County Level Data'!$E144</f>
        <v>0</v>
      </c>
      <c r="G146" s="12">
        <f t="shared" si="39"/>
        <v>0</v>
      </c>
      <c r="H146" s="12">
        <f>'Sheet 2. County Level Data'!$F144</f>
        <v>0</v>
      </c>
      <c r="I146" s="13" t="e">
        <f t="shared" si="40"/>
        <v>#DIV/0!</v>
      </c>
      <c r="J146" s="14">
        <f t="shared" si="41"/>
        <v>0</v>
      </c>
      <c r="K146" s="14">
        <f t="shared" si="42"/>
        <v>0</v>
      </c>
      <c r="L146" s="12">
        <f>'Sheet 2. County Level Data'!$G144</f>
        <v>0</v>
      </c>
      <c r="M146" s="12">
        <f t="shared" si="43"/>
        <v>0</v>
      </c>
      <c r="N146" s="12">
        <f t="shared" si="44"/>
        <v>0</v>
      </c>
      <c r="O146" s="12">
        <f>'Sheet 2. County Level Data'!$H144</f>
        <v>0</v>
      </c>
      <c r="P146" s="13" t="e">
        <f t="shared" si="45"/>
        <v>#DIV/0!</v>
      </c>
      <c r="Q146" s="7">
        <f t="shared" si="48"/>
        <v>0</v>
      </c>
      <c r="R146" s="7">
        <f t="shared" si="49"/>
        <v>0</v>
      </c>
      <c r="S146" s="7" t="e">
        <f t="shared" si="50"/>
        <v>#DIV/0!</v>
      </c>
    </row>
    <row r="147" spans="1:19" x14ac:dyDescent="0.2">
      <c r="A147" s="7">
        <f>'Sheet 2. County Level Data'!$A145</f>
        <v>0</v>
      </c>
      <c r="B147" s="7">
        <f>'Sheet 2. County Level Data'!C145</f>
        <v>0</v>
      </c>
      <c r="C147" s="9" t="e">
        <f t="shared" si="46"/>
        <v>#DIV/0!</v>
      </c>
      <c r="D147" s="12">
        <f>'Sheet 2. County Level Data'!$D145</f>
        <v>0</v>
      </c>
      <c r="E147" s="13" t="e">
        <f t="shared" si="47"/>
        <v>#DIV/0!</v>
      </c>
      <c r="F147" s="12">
        <f>'Sheet 2. County Level Data'!$E145</f>
        <v>0</v>
      </c>
      <c r="G147" s="12">
        <f t="shared" si="39"/>
        <v>0</v>
      </c>
      <c r="H147" s="12">
        <f>'Sheet 2. County Level Data'!$F145</f>
        <v>0</v>
      </c>
      <c r="I147" s="13" t="e">
        <f t="shared" si="40"/>
        <v>#DIV/0!</v>
      </c>
      <c r="J147" s="14">
        <f t="shared" si="41"/>
        <v>0</v>
      </c>
      <c r="K147" s="14">
        <f t="shared" si="42"/>
        <v>0</v>
      </c>
      <c r="L147" s="12">
        <f>'Sheet 2. County Level Data'!$G145</f>
        <v>0</v>
      </c>
      <c r="M147" s="12">
        <f t="shared" si="43"/>
        <v>0</v>
      </c>
      <c r="N147" s="12">
        <f t="shared" si="44"/>
        <v>0</v>
      </c>
      <c r="O147" s="12">
        <f>'Sheet 2. County Level Data'!$H145</f>
        <v>0</v>
      </c>
      <c r="P147" s="13" t="e">
        <f t="shared" si="45"/>
        <v>#DIV/0!</v>
      </c>
      <c r="Q147" s="7">
        <f t="shared" si="48"/>
        <v>0</v>
      </c>
      <c r="R147" s="7">
        <f t="shared" si="49"/>
        <v>0</v>
      </c>
      <c r="S147" s="7" t="e">
        <f t="shared" si="50"/>
        <v>#DIV/0!</v>
      </c>
    </row>
    <row r="148" spans="1:19" x14ac:dyDescent="0.2">
      <c r="A148" s="7">
        <f>'Sheet 2. County Level Data'!$A146</f>
        <v>0</v>
      </c>
      <c r="B148" s="7">
        <f>'Sheet 2. County Level Data'!C146</f>
        <v>0</v>
      </c>
      <c r="C148" s="9" t="e">
        <f t="shared" si="46"/>
        <v>#DIV/0!</v>
      </c>
      <c r="D148" s="12">
        <f>'Sheet 2. County Level Data'!$D146</f>
        <v>0</v>
      </c>
      <c r="E148" s="13" t="e">
        <f t="shared" si="47"/>
        <v>#DIV/0!</v>
      </c>
      <c r="F148" s="12">
        <f>'Sheet 2. County Level Data'!$E146</f>
        <v>0</v>
      </c>
      <c r="G148" s="12">
        <f t="shared" si="39"/>
        <v>0</v>
      </c>
      <c r="H148" s="12">
        <f>'Sheet 2. County Level Data'!$F146</f>
        <v>0</v>
      </c>
      <c r="I148" s="13" t="e">
        <f t="shared" si="40"/>
        <v>#DIV/0!</v>
      </c>
      <c r="J148" s="14">
        <f t="shared" si="41"/>
        <v>0</v>
      </c>
      <c r="K148" s="14">
        <f t="shared" si="42"/>
        <v>0</v>
      </c>
      <c r="L148" s="12">
        <f>'Sheet 2. County Level Data'!$G146</f>
        <v>0</v>
      </c>
      <c r="M148" s="12">
        <f t="shared" si="43"/>
        <v>0</v>
      </c>
      <c r="N148" s="12">
        <f t="shared" si="44"/>
        <v>0</v>
      </c>
      <c r="O148" s="12">
        <f>'Sheet 2. County Level Data'!$H146</f>
        <v>0</v>
      </c>
      <c r="P148" s="13" t="e">
        <f t="shared" si="45"/>
        <v>#DIV/0!</v>
      </c>
      <c r="Q148" s="7">
        <f t="shared" si="48"/>
        <v>0</v>
      </c>
      <c r="R148" s="7">
        <f t="shared" si="49"/>
        <v>0</v>
      </c>
      <c r="S148" s="7" t="e">
        <f t="shared" si="50"/>
        <v>#DIV/0!</v>
      </c>
    </row>
    <row r="149" spans="1:19" x14ac:dyDescent="0.2">
      <c r="A149" s="7">
        <f>'Sheet 2. County Level Data'!$A147</f>
        <v>0</v>
      </c>
      <c r="B149" s="7">
        <f>'Sheet 2. County Level Data'!C147</f>
        <v>0</v>
      </c>
      <c r="C149" s="9" t="e">
        <f t="shared" si="46"/>
        <v>#DIV/0!</v>
      </c>
      <c r="D149" s="12">
        <f>'Sheet 2. County Level Data'!$D147</f>
        <v>0</v>
      </c>
      <c r="E149" s="13" t="e">
        <f t="shared" si="47"/>
        <v>#DIV/0!</v>
      </c>
      <c r="F149" s="12">
        <f>'Sheet 2. County Level Data'!$E147</f>
        <v>0</v>
      </c>
      <c r="G149" s="12">
        <f t="shared" si="39"/>
        <v>0</v>
      </c>
      <c r="H149" s="12">
        <f>'Sheet 2. County Level Data'!$F147</f>
        <v>0</v>
      </c>
      <c r="I149" s="13" t="e">
        <f t="shared" si="40"/>
        <v>#DIV/0!</v>
      </c>
      <c r="J149" s="14">
        <f t="shared" si="41"/>
        <v>0</v>
      </c>
      <c r="K149" s="14">
        <f t="shared" si="42"/>
        <v>0</v>
      </c>
      <c r="L149" s="12">
        <f>'Sheet 2. County Level Data'!$G147</f>
        <v>0</v>
      </c>
      <c r="M149" s="12">
        <f t="shared" si="43"/>
        <v>0</v>
      </c>
      <c r="N149" s="12">
        <f t="shared" si="44"/>
        <v>0</v>
      </c>
      <c r="O149" s="12">
        <f>'Sheet 2. County Level Data'!$H147</f>
        <v>0</v>
      </c>
      <c r="P149" s="13" t="e">
        <f t="shared" si="45"/>
        <v>#DIV/0!</v>
      </c>
      <c r="Q149" s="7">
        <f t="shared" si="48"/>
        <v>0</v>
      </c>
      <c r="R149" s="7">
        <f t="shared" si="49"/>
        <v>0</v>
      </c>
      <c r="S149" s="7" t="e">
        <f t="shared" si="50"/>
        <v>#DIV/0!</v>
      </c>
    </row>
    <row r="150" spans="1:19" x14ac:dyDescent="0.2">
      <c r="A150" s="7">
        <f>'Sheet 2. County Level Data'!$A148</f>
        <v>0</v>
      </c>
      <c r="B150" s="7">
        <f>'Sheet 2. County Level Data'!C148</f>
        <v>0</v>
      </c>
      <c r="C150" s="9" t="e">
        <f t="shared" si="46"/>
        <v>#DIV/0!</v>
      </c>
      <c r="D150" s="12">
        <f>'Sheet 2. County Level Data'!$D148</f>
        <v>0</v>
      </c>
      <c r="E150" s="13" t="e">
        <f t="shared" si="47"/>
        <v>#DIV/0!</v>
      </c>
      <c r="F150" s="12">
        <f>'Sheet 2. County Level Data'!$E148</f>
        <v>0</v>
      </c>
      <c r="G150" s="12">
        <f t="shared" si="39"/>
        <v>0</v>
      </c>
      <c r="H150" s="12">
        <f>'Sheet 2. County Level Data'!$F148</f>
        <v>0</v>
      </c>
      <c r="I150" s="13" t="e">
        <f t="shared" si="40"/>
        <v>#DIV/0!</v>
      </c>
      <c r="J150" s="14">
        <f t="shared" si="41"/>
        <v>0</v>
      </c>
      <c r="K150" s="14">
        <f t="shared" si="42"/>
        <v>0</v>
      </c>
      <c r="L150" s="12">
        <f>'Sheet 2. County Level Data'!$G148</f>
        <v>0</v>
      </c>
      <c r="M150" s="12">
        <f t="shared" si="43"/>
        <v>0</v>
      </c>
      <c r="N150" s="12">
        <f t="shared" si="44"/>
        <v>0</v>
      </c>
      <c r="O150" s="12">
        <f>'Sheet 2. County Level Data'!$H148</f>
        <v>0</v>
      </c>
      <c r="P150" s="13" t="e">
        <f t="shared" si="45"/>
        <v>#DIV/0!</v>
      </c>
      <c r="Q150" s="7">
        <f t="shared" si="48"/>
        <v>0</v>
      </c>
      <c r="R150" s="7">
        <f t="shared" si="49"/>
        <v>0</v>
      </c>
      <c r="S150" s="7" t="e">
        <f t="shared" si="50"/>
        <v>#DIV/0!</v>
      </c>
    </row>
    <row r="151" spans="1:19" x14ac:dyDescent="0.2">
      <c r="A151" s="7">
        <f>'Sheet 2. County Level Data'!$A149</f>
        <v>0</v>
      </c>
      <c r="B151" s="7">
        <f>'Sheet 2. County Level Data'!C149</f>
        <v>0</v>
      </c>
      <c r="C151" s="9" t="e">
        <f t="shared" si="46"/>
        <v>#DIV/0!</v>
      </c>
      <c r="D151" s="12">
        <f>'Sheet 2. County Level Data'!$D149</f>
        <v>0</v>
      </c>
      <c r="E151" s="13" t="e">
        <f t="shared" si="47"/>
        <v>#DIV/0!</v>
      </c>
      <c r="F151" s="12">
        <f>'Sheet 2. County Level Data'!$E149</f>
        <v>0</v>
      </c>
      <c r="G151" s="12">
        <f t="shared" si="39"/>
        <v>0</v>
      </c>
      <c r="H151" s="12">
        <f>'Sheet 2. County Level Data'!$F149</f>
        <v>0</v>
      </c>
      <c r="I151" s="13" t="e">
        <f t="shared" si="40"/>
        <v>#DIV/0!</v>
      </c>
      <c r="J151" s="14">
        <f t="shared" si="41"/>
        <v>0</v>
      </c>
      <c r="K151" s="14">
        <f t="shared" si="42"/>
        <v>0</v>
      </c>
      <c r="L151" s="12">
        <f>'Sheet 2. County Level Data'!$G149</f>
        <v>0</v>
      </c>
      <c r="M151" s="12">
        <f t="shared" si="43"/>
        <v>0</v>
      </c>
      <c r="N151" s="12">
        <f t="shared" si="44"/>
        <v>0</v>
      </c>
      <c r="O151" s="12">
        <f>'Sheet 2. County Level Data'!$H149</f>
        <v>0</v>
      </c>
      <c r="P151" s="13" t="e">
        <f t="shared" si="45"/>
        <v>#DIV/0!</v>
      </c>
      <c r="Q151" s="7">
        <f t="shared" si="48"/>
        <v>0</v>
      </c>
      <c r="R151" s="7">
        <f t="shared" si="49"/>
        <v>0</v>
      </c>
      <c r="S151" s="7" t="e">
        <f t="shared" si="50"/>
        <v>#DIV/0!</v>
      </c>
    </row>
    <row r="152" spans="1:19" x14ac:dyDescent="0.2">
      <c r="A152" s="7">
        <f>'Sheet 2. County Level Data'!$A150</f>
        <v>0</v>
      </c>
      <c r="B152" s="7">
        <f>'Sheet 2. County Level Data'!C150</f>
        <v>0</v>
      </c>
      <c r="C152" s="9" t="e">
        <f t="shared" si="46"/>
        <v>#DIV/0!</v>
      </c>
      <c r="D152" s="12">
        <f>'Sheet 2. County Level Data'!$D150</f>
        <v>0</v>
      </c>
      <c r="E152" s="13" t="e">
        <f t="shared" si="47"/>
        <v>#DIV/0!</v>
      </c>
      <c r="F152" s="12">
        <f>'Sheet 2. County Level Data'!$E150</f>
        <v>0</v>
      </c>
      <c r="G152" s="12">
        <f t="shared" si="39"/>
        <v>0</v>
      </c>
      <c r="H152" s="12">
        <f>'Sheet 2. County Level Data'!$F150</f>
        <v>0</v>
      </c>
      <c r="I152" s="13" t="e">
        <f t="shared" si="40"/>
        <v>#DIV/0!</v>
      </c>
      <c r="J152" s="14">
        <f t="shared" si="41"/>
        <v>0</v>
      </c>
      <c r="K152" s="14">
        <f t="shared" si="42"/>
        <v>0</v>
      </c>
      <c r="L152" s="12">
        <f>'Sheet 2. County Level Data'!$G150</f>
        <v>0</v>
      </c>
      <c r="M152" s="12">
        <f t="shared" si="43"/>
        <v>0</v>
      </c>
      <c r="N152" s="12">
        <f t="shared" si="44"/>
        <v>0</v>
      </c>
      <c r="O152" s="12">
        <f>'Sheet 2. County Level Data'!$H150</f>
        <v>0</v>
      </c>
      <c r="P152" s="13" t="e">
        <f t="shared" si="45"/>
        <v>#DIV/0!</v>
      </c>
      <c r="Q152" s="7">
        <f t="shared" si="48"/>
        <v>0</v>
      </c>
      <c r="R152" s="7">
        <f t="shared" si="49"/>
        <v>0</v>
      </c>
      <c r="S152" s="7" t="e">
        <f t="shared" si="50"/>
        <v>#DIV/0!</v>
      </c>
    </row>
    <row r="153" spans="1:19" x14ac:dyDescent="0.2">
      <c r="A153" s="7">
        <f>'Sheet 2. County Level Data'!$A151</f>
        <v>0</v>
      </c>
      <c r="B153" s="7">
        <f>'Sheet 2. County Level Data'!C151</f>
        <v>0</v>
      </c>
      <c r="C153" s="9" t="e">
        <f t="shared" si="46"/>
        <v>#DIV/0!</v>
      </c>
      <c r="D153" s="12">
        <f>'Sheet 2. County Level Data'!$D151</f>
        <v>0</v>
      </c>
      <c r="E153" s="13" t="e">
        <f t="shared" si="47"/>
        <v>#DIV/0!</v>
      </c>
      <c r="F153" s="12">
        <f>'Sheet 2. County Level Data'!$E151</f>
        <v>0</v>
      </c>
      <c r="G153" s="12">
        <f t="shared" si="39"/>
        <v>0</v>
      </c>
      <c r="H153" s="12">
        <f>'Sheet 2. County Level Data'!$F151</f>
        <v>0</v>
      </c>
      <c r="I153" s="13" t="e">
        <f t="shared" si="40"/>
        <v>#DIV/0!</v>
      </c>
      <c r="J153" s="14">
        <f t="shared" si="41"/>
        <v>0</v>
      </c>
      <c r="K153" s="14">
        <f t="shared" si="42"/>
        <v>0</v>
      </c>
      <c r="L153" s="12">
        <f>'Sheet 2. County Level Data'!$G151</f>
        <v>0</v>
      </c>
      <c r="M153" s="12">
        <f t="shared" si="43"/>
        <v>0</v>
      </c>
      <c r="N153" s="12">
        <f t="shared" si="44"/>
        <v>0</v>
      </c>
      <c r="O153" s="12">
        <f>'Sheet 2. County Level Data'!$H151</f>
        <v>0</v>
      </c>
      <c r="P153" s="13" t="e">
        <f t="shared" si="45"/>
        <v>#DIV/0!</v>
      </c>
      <c r="Q153" s="7">
        <f t="shared" si="48"/>
        <v>0</v>
      </c>
      <c r="R153" s="7">
        <f t="shared" si="49"/>
        <v>0</v>
      </c>
      <c r="S153" s="7" t="e">
        <f t="shared" si="50"/>
        <v>#DIV/0!</v>
      </c>
    </row>
    <row r="154" spans="1:19" x14ac:dyDescent="0.2">
      <c r="A154" s="7">
        <f>'Sheet 2. County Level Data'!$A152</f>
        <v>0</v>
      </c>
      <c r="B154" s="7">
        <f>'Sheet 2. County Level Data'!C152</f>
        <v>0</v>
      </c>
      <c r="C154" s="9" t="e">
        <f t="shared" si="46"/>
        <v>#DIV/0!</v>
      </c>
      <c r="D154" s="12">
        <f>'Sheet 2. County Level Data'!$D152</f>
        <v>0</v>
      </c>
      <c r="E154" s="13" t="e">
        <f t="shared" si="47"/>
        <v>#DIV/0!</v>
      </c>
      <c r="F154" s="12">
        <f>'Sheet 2. County Level Data'!$E152</f>
        <v>0</v>
      </c>
      <c r="G154" s="12">
        <f t="shared" si="39"/>
        <v>0</v>
      </c>
      <c r="H154" s="12">
        <f>'Sheet 2. County Level Data'!$F152</f>
        <v>0</v>
      </c>
      <c r="I154" s="13" t="e">
        <f t="shared" si="40"/>
        <v>#DIV/0!</v>
      </c>
      <c r="J154" s="14">
        <f t="shared" si="41"/>
        <v>0</v>
      </c>
      <c r="K154" s="14">
        <f t="shared" si="42"/>
        <v>0</v>
      </c>
      <c r="L154" s="12">
        <f>'Sheet 2. County Level Data'!$G152</f>
        <v>0</v>
      </c>
      <c r="M154" s="12">
        <f t="shared" si="43"/>
        <v>0</v>
      </c>
      <c r="N154" s="12">
        <f t="shared" si="44"/>
        <v>0</v>
      </c>
      <c r="O154" s="12">
        <f>'Sheet 2. County Level Data'!$H152</f>
        <v>0</v>
      </c>
      <c r="P154" s="13" t="e">
        <f t="shared" si="45"/>
        <v>#DIV/0!</v>
      </c>
      <c r="Q154" s="7">
        <f t="shared" si="48"/>
        <v>0</v>
      </c>
      <c r="R154" s="7">
        <f t="shared" si="49"/>
        <v>0</v>
      </c>
      <c r="S154" s="7" t="e">
        <f t="shared" si="50"/>
        <v>#DIV/0!</v>
      </c>
    </row>
    <row r="155" spans="1:19" x14ac:dyDescent="0.2">
      <c r="A155" s="7">
        <f>'Sheet 2. County Level Data'!$A153</f>
        <v>0</v>
      </c>
      <c r="B155" s="7">
        <f>'Sheet 2. County Level Data'!C153</f>
        <v>0</v>
      </c>
      <c r="C155" s="9" t="e">
        <f t="shared" si="46"/>
        <v>#DIV/0!</v>
      </c>
      <c r="D155" s="12">
        <f>'Sheet 2. County Level Data'!$D153</f>
        <v>0</v>
      </c>
      <c r="E155" s="13" t="e">
        <f t="shared" si="47"/>
        <v>#DIV/0!</v>
      </c>
      <c r="F155" s="12">
        <f>'Sheet 2. County Level Data'!$E153</f>
        <v>0</v>
      </c>
      <c r="G155" s="12">
        <f t="shared" si="39"/>
        <v>0</v>
      </c>
      <c r="H155" s="12">
        <f>'Sheet 2. County Level Data'!$F153</f>
        <v>0</v>
      </c>
      <c r="I155" s="13" t="e">
        <f t="shared" si="40"/>
        <v>#DIV/0!</v>
      </c>
      <c r="J155" s="14">
        <f t="shared" si="41"/>
        <v>0</v>
      </c>
      <c r="K155" s="14">
        <f t="shared" si="42"/>
        <v>0</v>
      </c>
      <c r="L155" s="12">
        <f>'Sheet 2. County Level Data'!$G153</f>
        <v>0</v>
      </c>
      <c r="M155" s="12">
        <f t="shared" si="43"/>
        <v>0</v>
      </c>
      <c r="N155" s="12">
        <f t="shared" si="44"/>
        <v>0</v>
      </c>
      <c r="O155" s="12">
        <f>'Sheet 2. County Level Data'!$H153</f>
        <v>0</v>
      </c>
      <c r="P155" s="13" t="e">
        <f t="shared" si="45"/>
        <v>#DIV/0!</v>
      </c>
      <c r="Q155" s="7">
        <f t="shared" si="48"/>
        <v>0</v>
      </c>
      <c r="R155" s="7">
        <f t="shared" si="49"/>
        <v>0</v>
      </c>
      <c r="S155" s="7" t="e">
        <f t="shared" si="50"/>
        <v>#DIV/0!</v>
      </c>
    </row>
    <row r="156" spans="1:19" x14ac:dyDescent="0.2">
      <c r="A156" s="7">
        <f>'Sheet 2. County Level Data'!$A154</f>
        <v>0</v>
      </c>
      <c r="B156" s="7">
        <f>'Sheet 2. County Level Data'!C154</f>
        <v>0</v>
      </c>
      <c r="C156" s="9" t="e">
        <f t="shared" si="46"/>
        <v>#DIV/0!</v>
      </c>
      <c r="D156" s="12">
        <f>'Sheet 2. County Level Data'!$D154</f>
        <v>0</v>
      </c>
      <c r="E156" s="13" t="e">
        <f t="shared" si="47"/>
        <v>#DIV/0!</v>
      </c>
      <c r="F156" s="12">
        <f>'Sheet 2. County Level Data'!$E154</f>
        <v>0</v>
      </c>
      <c r="G156" s="12">
        <f t="shared" si="39"/>
        <v>0</v>
      </c>
      <c r="H156" s="12">
        <f>'Sheet 2. County Level Data'!$F154</f>
        <v>0</v>
      </c>
      <c r="I156" s="13" t="e">
        <f t="shared" si="40"/>
        <v>#DIV/0!</v>
      </c>
      <c r="J156" s="14">
        <f t="shared" si="41"/>
        <v>0</v>
      </c>
      <c r="K156" s="14">
        <f t="shared" si="42"/>
        <v>0</v>
      </c>
      <c r="L156" s="12">
        <f>'Sheet 2. County Level Data'!$G154</f>
        <v>0</v>
      </c>
      <c r="M156" s="12">
        <f t="shared" si="43"/>
        <v>0</v>
      </c>
      <c r="N156" s="12">
        <f t="shared" si="44"/>
        <v>0</v>
      </c>
      <c r="O156" s="12">
        <f>'Sheet 2. County Level Data'!$H154</f>
        <v>0</v>
      </c>
      <c r="P156" s="13" t="e">
        <f t="shared" si="45"/>
        <v>#DIV/0!</v>
      </c>
      <c r="Q156" s="7">
        <f t="shared" si="48"/>
        <v>0</v>
      </c>
      <c r="R156" s="7">
        <f t="shared" si="49"/>
        <v>0</v>
      </c>
      <c r="S156" s="7" t="e">
        <f t="shared" si="50"/>
        <v>#DIV/0!</v>
      </c>
    </row>
    <row r="157" spans="1:19" x14ac:dyDescent="0.2">
      <c r="A157" s="7">
        <f>'Sheet 2. County Level Data'!$A155</f>
        <v>0</v>
      </c>
      <c r="B157" s="7">
        <f>'Sheet 2. County Level Data'!C155</f>
        <v>0</v>
      </c>
      <c r="C157" s="9" t="e">
        <f t="shared" si="46"/>
        <v>#DIV/0!</v>
      </c>
      <c r="D157" s="12">
        <f>'Sheet 2. County Level Data'!$D155</f>
        <v>0</v>
      </c>
      <c r="E157" s="13" t="e">
        <f t="shared" si="47"/>
        <v>#DIV/0!</v>
      </c>
      <c r="F157" s="12">
        <f>'Sheet 2. County Level Data'!$E155</f>
        <v>0</v>
      </c>
      <c r="G157" s="12">
        <f t="shared" si="39"/>
        <v>0</v>
      </c>
      <c r="H157" s="12">
        <f>'Sheet 2. County Level Data'!$F155</f>
        <v>0</v>
      </c>
      <c r="I157" s="13" t="e">
        <f t="shared" si="40"/>
        <v>#DIV/0!</v>
      </c>
      <c r="J157" s="14">
        <f t="shared" si="41"/>
        <v>0</v>
      </c>
      <c r="K157" s="14">
        <f t="shared" si="42"/>
        <v>0</v>
      </c>
      <c r="L157" s="12">
        <f>'Sheet 2. County Level Data'!$G155</f>
        <v>0</v>
      </c>
      <c r="M157" s="12">
        <f t="shared" si="43"/>
        <v>0</v>
      </c>
      <c r="N157" s="12">
        <f t="shared" si="44"/>
        <v>0</v>
      </c>
      <c r="O157" s="12">
        <f>'Sheet 2. County Level Data'!$H155</f>
        <v>0</v>
      </c>
      <c r="P157" s="13" t="e">
        <f t="shared" si="45"/>
        <v>#DIV/0!</v>
      </c>
      <c r="Q157" s="7">
        <f t="shared" si="48"/>
        <v>0</v>
      </c>
      <c r="R157" s="7">
        <f t="shared" si="49"/>
        <v>0</v>
      </c>
      <c r="S157" s="7" t="e">
        <f t="shared" si="50"/>
        <v>#DIV/0!</v>
      </c>
    </row>
    <row r="158" spans="1:19" x14ac:dyDescent="0.2">
      <c r="A158" s="7">
        <f>'Sheet 2. County Level Data'!$A156</f>
        <v>0</v>
      </c>
      <c r="B158" s="7">
        <f>'Sheet 2. County Level Data'!C156</f>
        <v>0</v>
      </c>
      <c r="C158" s="9" t="e">
        <f t="shared" si="46"/>
        <v>#DIV/0!</v>
      </c>
      <c r="D158" s="12">
        <f>'Sheet 2. County Level Data'!$D156</f>
        <v>0</v>
      </c>
      <c r="E158" s="13" t="e">
        <f t="shared" si="47"/>
        <v>#DIV/0!</v>
      </c>
      <c r="F158" s="12">
        <f>'Sheet 2. County Level Data'!$E156</f>
        <v>0</v>
      </c>
      <c r="G158" s="12">
        <f t="shared" si="39"/>
        <v>0</v>
      </c>
      <c r="H158" s="12">
        <f>'Sheet 2. County Level Data'!$F156</f>
        <v>0</v>
      </c>
      <c r="I158" s="13" t="e">
        <f t="shared" si="40"/>
        <v>#DIV/0!</v>
      </c>
      <c r="J158" s="14">
        <f t="shared" si="41"/>
        <v>0</v>
      </c>
      <c r="K158" s="14">
        <f t="shared" si="42"/>
        <v>0</v>
      </c>
      <c r="L158" s="12">
        <f>'Sheet 2. County Level Data'!$G156</f>
        <v>0</v>
      </c>
      <c r="M158" s="12">
        <f t="shared" si="43"/>
        <v>0</v>
      </c>
      <c r="N158" s="12">
        <f t="shared" si="44"/>
        <v>0</v>
      </c>
      <c r="O158" s="12">
        <f>'Sheet 2. County Level Data'!$H156</f>
        <v>0</v>
      </c>
      <c r="P158" s="13" t="e">
        <f t="shared" si="45"/>
        <v>#DIV/0!</v>
      </c>
      <c r="Q158" s="7">
        <f t="shared" si="48"/>
        <v>0</v>
      </c>
      <c r="R158" s="7">
        <f t="shared" si="49"/>
        <v>0</v>
      </c>
      <c r="S158" s="7" t="e">
        <f t="shared" si="50"/>
        <v>#DIV/0!</v>
      </c>
    </row>
    <row r="159" spans="1:19" x14ac:dyDescent="0.2">
      <c r="A159" s="7">
        <f>'Sheet 2. County Level Data'!$A157</f>
        <v>0</v>
      </c>
      <c r="B159" s="7">
        <f>'Sheet 2. County Level Data'!C157</f>
        <v>0</v>
      </c>
      <c r="C159" s="9" t="e">
        <f t="shared" si="46"/>
        <v>#DIV/0!</v>
      </c>
      <c r="D159" s="12">
        <f>'Sheet 2. County Level Data'!$D157</f>
        <v>0</v>
      </c>
      <c r="E159" s="13" t="e">
        <f t="shared" si="47"/>
        <v>#DIV/0!</v>
      </c>
      <c r="F159" s="12">
        <f>'Sheet 2. County Level Data'!$E157</f>
        <v>0</v>
      </c>
      <c r="G159" s="12">
        <f t="shared" si="39"/>
        <v>0</v>
      </c>
      <c r="H159" s="12">
        <f>'Sheet 2. County Level Data'!$F157</f>
        <v>0</v>
      </c>
      <c r="I159" s="13" t="e">
        <f t="shared" si="40"/>
        <v>#DIV/0!</v>
      </c>
      <c r="J159" s="14">
        <f t="shared" si="41"/>
        <v>0</v>
      </c>
      <c r="K159" s="14">
        <f t="shared" si="42"/>
        <v>0</v>
      </c>
      <c r="L159" s="12">
        <f>'Sheet 2. County Level Data'!$G157</f>
        <v>0</v>
      </c>
      <c r="M159" s="12">
        <f t="shared" si="43"/>
        <v>0</v>
      </c>
      <c r="N159" s="12">
        <f t="shared" si="44"/>
        <v>0</v>
      </c>
      <c r="O159" s="12">
        <f>'Sheet 2. County Level Data'!$H157</f>
        <v>0</v>
      </c>
      <c r="P159" s="13" t="e">
        <f t="shared" si="45"/>
        <v>#DIV/0!</v>
      </c>
      <c r="Q159" s="7">
        <f t="shared" si="48"/>
        <v>0</v>
      </c>
      <c r="R159" s="7">
        <f t="shared" si="49"/>
        <v>0</v>
      </c>
      <c r="S159" s="7" t="e">
        <f t="shared" si="50"/>
        <v>#DIV/0!</v>
      </c>
    </row>
    <row r="160" spans="1:19" x14ac:dyDescent="0.2">
      <c r="A160" s="7">
        <f>'Sheet 2. County Level Data'!$A158</f>
        <v>0</v>
      </c>
      <c r="B160" s="7">
        <f>'Sheet 2. County Level Data'!C158</f>
        <v>0</v>
      </c>
      <c r="C160" s="9" t="e">
        <f t="shared" si="46"/>
        <v>#DIV/0!</v>
      </c>
      <c r="D160" s="12">
        <f>'Sheet 2. County Level Data'!$D158</f>
        <v>0</v>
      </c>
      <c r="E160" s="13" t="e">
        <f t="shared" si="47"/>
        <v>#DIV/0!</v>
      </c>
      <c r="F160" s="12">
        <f>'Sheet 2. County Level Data'!$E158</f>
        <v>0</v>
      </c>
      <c r="G160" s="12">
        <f t="shared" si="39"/>
        <v>0</v>
      </c>
      <c r="H160" s="12">
        <f>'Sheet 2. County Level Data'!$F158</f>
        <v>0</v>
      </c>
      <c r="I160" s="13" t="e">
        <f t="shared" si="40"/>
        <v>#DIV/0!</v>
      </c>
      <c r="J160" s="14">
        <f t="shared" si="41"/>
        <v>0</v>
      </c>
      <c r="K160" s="14">
        <f t="shared" si="42"/>
        <v>0</v>
      </c>
      <c r="L160" s="12">
        <f>'Sheet 2. County Level Data'!$G158</f>
        <v>0</v>
      </c>
      <c r="M160" s="12">
        <f t="shared" si="43"/>
        <v>0</v>
      </c>
      <c r="N160" s="12">
        <f t="shared" si="44"/>
        <v>0</v>
      </c>
      <c r="O160" s="12">
        <f>'Sheet 2. County Level Data'!$H158</f>
        <v>0</v>
      </c>
      <c r="P160" s="13" t="e">
        <f t="shared" si="45"/>
        <v>#DIV/0!</v>
      </c>
      <c r="Q160" s="7">
        <f t="shared" si="48"/>
        <v>0</v>
      </c>
      <c r="R160" s="7">
        <f t="shared" si="49"/>
        <v>0</v>
      </c>
      <c r="S160" s="7" t="e">
        <f t="shared" si="50"/>
        <v>#DIV/0!</v>
      </c>
    </row>
    <row r="161" spans="1:19" x14ac:dyDescent="0.2">
      <c r="A161" s="7">
        <f>'Sheet 2. County Level Data'!$A159</f>
        <v>0</v>
      </c>
      <c r="B161" s="7">
        <f>'Sheet 2. County Level Data'!C159</f>
        <v>0</v>
      </c>
      <c r="C161" s="9" t="e">
        <f t="shared" si="46"/>
        <v>#DIV/0!</v>
      </c>
      <c r="D161" s="12">
        <f>'Sheet 2. County Level Data'!$D159</f>
        <v>0</v>
      </c>
      <c r="E161" s="13" t="e">
        <f t="shared" si="47"/>
        <v>#DIV/0!</v>
      </c>
      <c r="F161" s="12">
        <f>'Sheet 2. County Level Data'!$E159</f>
        <v>0</v>
      </c>
      <c r="G161" s="12">
        <f t="shared" si="39"/>
        <v>0</v>
      </c>
      <c r="H161" s="12">
        <f>'Sheet 2. County Level Data'!$F159</f>
        <v>0</v>
      </c>
      <c r="I161" s="13" t="e">
        <f t="shared" si="40"/>
        <v>#DIV/0!</v>
      </c>
      <c r="J161" s="14">
        <f t="shared" si="41"/>
        <v>0</v>
      </c>
      <c r="K161" s="14">
        <f t="shared" si="42"/>
        <v>0</v>
      </c>
      <c r="L161" s="12">
        <f>'Sheet 2. County Level Data'!$G159</f>
        <v>0</v>
      </c>
      <c r="M161" s="12">
        <f t="shared" si="43"/>
        <v>0</v>
      </c>
      <c r="N161" s="12">
        <f t="shared" si="44"/>
        <v>0</v>
      </c>
      <c r="O161" s="12">
        <f>'Sheet 2. County Level Data'!$H159</f>
        <v>0</v>
      </c>
      <c r="P161" s="13" t="e">
        <f t="shared" si="45"/>
        <v>#DIV/0!</v>
      </c>
      <c r="Q161" s="7">
        <f t="shared" si="48"/>
        <v>0</v>
      </c>
      <c r="R161" s="7">
        <f t="shared" si="49"/>
        <v>0</v>
      </c>
      <c r="S161" s="7" t="e">
        <f t="shared" si="50"/>
        <v>#DIV/0!</v>
      </c>
    </row>
    <row r="162" spans="1:19" x14ac:dyDescent="0.2">
      <c r="A162" s="7">
        <f>'Sheet 2. County Level Data'!$A160</f>
        <v>0</v>
      </c>
      <c r="B162" s="7">
        <f>'Sheet 2. County Level Data'!C160</f>
        <v>0</v>
      </c>
      <c r="C162" s="9" t="e">
        <f t="shared" si="46"/>
        <v>#DIV/0!</v>
      </c>
      <c r="D162" s="12">
        <f>'Sheet 2. County Level Data'!$D160</f>
        <v>0</v>
      </c>
      <c r="E162" s="13" t="e">
        <f t="shared" si="47"/>
        <v>#DIV/0!</v>
      </c>
      <c r="F162" s="12">
        <f>'Sheet 2. County Level Data'!$E160</f>
        <v>0</v>
      </c>
      <c r="G162" s="12">
        <f t="shared" si="39"/>
        <v>0</v>
      </c>
      <c r="H162" s="12">
        <f>'Sheet 2. County Level Data'!$F160</f>
        <v>0</v>
      </c>
      <c r="I162" s="13" t="e">
        <f t="shared" si="40"/>
        <v>#DIV/0!</v>
      </c>
      <c r="J162" s="14">
        <f t="shared" si="41"/>
        <v>0</v>
      </c>
      <c r="K162" s="14">
        <f t="shared" si="42"/>
        <v>0</v>
      </c>
      <c r="L162" s="12">
        <f>'Sheet 2. County Level Data'!$G160</f>
        <v>0</v>
      </c>
      <c r="M162" s="12">
        <f t="shared" si="43"/>
        <v>0</v>
      </c>
      <c r="N162" s="12">
        <f t="shared" si="44"/>
        <v>0</v>
      </c>
      <c r="O162" s="12">
        <f>'Sheet 2. County Level Data'!$H160</f>
        <v>0</v>
      </c>
      <c r="P162" s="13" t="e">
        <f t="shared" si="45"/>
        <v>#DIV/0!</v>
      </c>
      <c r="Q162" s="7">
        <f t="shared" si="48"/>
        <v>0</v>
      </c>
      <c r="R162" s="7">
        <f t="shared" si="49"/>
        <v>0</v>
      </c>
      <c r="S162" s="7" t="e">
        <f t="shared" si="50"/>
        <v>#DIV/0!</v>
      </c>
    </row>
    <row r="163" spans="1:19" x14ac:dyDescent="0.2">
      <c r="A163" s="7"/>
      <c r="B163" s="7"/>
      <c r="C163" s="9"/>
      <c r="D163" s="12"/>
      <c r="E163" s="31"/>
      <c r="F163" s="12"/>
      <c r="G163" s="12"/>
      <c r="H163" s="12"/>
      <c r="I163" s="13"/>
      <c r="J163" s="14"/>
      <c r="K163" s="14"/>
      <c r="L163" s="12"/>
      <c r="M163" s="12"/>
      <c r="N163" s="12"/>
      <c r="O163" s="12"/>
      <c r="P163" s="13"/>
      <c r="Q163" s="7"/>
      <c r="R163" s="7"/>
      <c r="S163" s="7"/>
    </row>
    <row r="164" spans="1:19" x14ac:dyDescent="0.2">
      <c r="A164" s="7"/>
      <c r="B164" s="7"/>
      <c r="C164" s="9"/>
      <c r="D164" s="12"/>
      <c r="E164" s="31"/>
      <c r="F164" s="12"/>
      <c r="G164" s="12"/>
      <c r="H164" s="12"/>
      <c r="I164" s="13"/>
      <c r="J164" s="14"/>
      <c r="K164" s="14"/>
      <c r="L164" s="12"/>
      <c r="M164" s="12"/>
      <c r="N164" s="12"/>
      <c r="O164" s="12"/>
      <c r="P164" s="13"/>
      <c r="Q164" s="7"/>
      <c r="R164" s="7"/>
      <c r="S164" s="7"/>
    </row>
    <row r="165" spans="1:19" x14ac:dyDescent="0.2">
      <c r="A165" s="7"/>
      <c r="B165" s="7"/>
      <c r="C165" s="9"/>
      <c r="D165" s="12"/>
      <c r="E165" s="31"/>
      <c r="F165" s="12"/>
      <c r="G165" s="12"/>
      <c r="H165" s="12"/>
      <c r="I165" s="13"/>
      <c r="J165" s="14"/>
      <c r="K165" s="14"/>
      <c r="L165" s="12"/>
      <c r="M165" s="12"/>
      <c r="N165" s="12"/>
      <c r="O165" s="12"/>
      <c r="P165" s="13"/>
      <c r="Q165" s="7"/>
      <c r="R165" s="7"/>
      <c r="S165" s="7"/>
    </row>
    <row r="166" spans="1:19" x14ac:dyDescent="0.2">
      <c r="A166" s="7"/>
      <c r="B166" s="7"/>
      <c r="C166" s="9"/>
      <c r="D166" s="12"/>
      <c r="E166" s="31"/>
      <c r="F166" s="12"/>
      <c r="G166" s="12"/>
      <c r="H166" s="12"/>
      <c r="I166" s="13"/>
      <c r="J166" s="14"/>
      <c r="K166" s="14"/>
      <c r="L166" s="12"/>
      <c r="M166" s="12"/>
      <c r="N166" s="12"/>
      <c r="O166" s="12"/>
      <c r="P166" s="13"/>
      <c r="Q166" s="7"/>
      <c r="R166" s="7"/>
      <c r="S166" s="7"/>
    </row>
    <row r="167" spans="1:19" x14ac:dyDescent="0.2">
      <c r="A167" s="7"/>
      <c r="B167" s="7"/>
      <c r="C167" s="9"/>
      <c r="D167" s="12"/>
      <c r="E167" s="31"/>
      <c r="F167" s="12"/>
      <c r="G167" s="12"/>
      <c r="H167" s="12"/>
      <c r="I167" s="13"/>
      <c r="J167" s="14"/>
      <c r="K167" s="14"/>
      <c r="L167" s="12"/>
      <c r="M167" s="12"/>
      <c r="N167" s="12"/>
      <c r="O167" s="12"/>
      <c r="P167" s="13"/>
      <c r="Q167" s="7"/>
      <c r="R167" s="7"/>
      <c r="S167" s="7"/>
    </row>
    <row r="168" spans="1:19" x14ac:dyDescent="0.2">
      <c r="A168" s="7"/>
      <c r="B168" s="7"/>
      <c r="C168" s="9"/>
      <c r="D168" s="12"/>
      <c r="E168" s="31"/>
      <c r="F168" s="12"/>
      <c r="G168" s="12"/>
      <c r="H168" s="12"/>
      <c r="I168" s="13"/>
      <c r="J168" s="14"/>
      <c r="K168" s="14"/>
      <c r="L168" s="12"/>
      <c r="M168" s="12"/>
      <c r="N168" s="12"/>
      <c r="O168" s="12"/>
      <c r="P168" s="13"/>
      <c r="Q168" s="7"/>
      <c r="R168" s="7"/>
      <c r="S168" s="7"/>
    </row>
    <row r="169" spans="1:19" x14ac:dyDescent="0.2">
      <c r="A169" s="7"/>
      <c r="B169" s="7"/>
      <c r="C169" s="9"/>
      <c r="D169" s="12"/>
      <c r="E169" s="31"/>
      <c r="F169" s="12"/>
      <c r="G169" s="12"/>
      <c r="H169" s="12"/>
      <c r="I169" s="13"/>
      <c r="J169" s="14"/>
      <c r="K169" s="14"/>
      <c r="L169" s="12"/>
      <c r="M169" s="12"/>
      <c r="N169" s="12"/>
      <c r="O169" s="12"/>
      <c r="P169" s="13"/>
      <c r="Q169" s="7"/>
      <c r="R169" s="7"/>
      <c r="S169" s="7"/>
    </row>
    <row r="170" spans="1:19" x14ac:dyDescent="0.2">
      <c r="A170" s="7"/>
      <c r="B170" s="7"/>
      <c r="C170" s="9"/>
      <c r="D170" s="12"/>
      <c r="E170" s="31"/>
      <c r="F170" s="12"/>
      <c r="G170" s="12"/>
      <c r="H170" s="12"/>
      <c r="I170" s="13"/>
      <c r="J170" s="14"/>
      <c r="K170" s="14"/>
      <c r="L170" s="12"/>
      <c r="M170" s="12"/>
      <c r="N170" s="12"/>
      <c r="O170" s="12"/>
      <c r="P170" s="13"/>
      <c r="Q170" s="7"/>
      <c r="R170" s="7"/>
      <c r="S170" s="7"/>
    </row>
    <row r="171" spans="1:19" x14ac:dyDescent="0.2">
      <c r="A171" s="7"/>
      <c r="B171" s="7"/>
      <c r="C171" s="9"/>
      <c r="D171" s="12"/>
      <c r="E171" s="31"/>
      <c r="F171" s="12"/>
      <c r="G171" s="12"/>
      <c r="H171" s="12"/>
      <c r="I171" s="13"/>
      <c r="J171" s="14"/>
      <c r="K171" s="14"/>
      <c r="L171" s="12"/>
      <c r="M171" s="12"/>
      <c r="N171" s="12"/>
      <c r="O171" s="12"/>
      <c r="P171" s="13"/>
      <c r="Q171" s="7"/>
      <c r="R171" s="7"/>
      <c r="S171" s="7"/>
    </row>
    <row r="172" spans="1:19" x14ac:dyDescent="0.2">
      <c r="A172" s="7"/>
      <c r="B172" s="7"/>
      <c r="C172" s="9"/>
      <c r="D172" s="12"/>
      <c r="E172" s="31"/>
      <c r="F172" s="12"/>
      <c r="G172" s="12"/>
      <c r="H172" s="12"/>
      <c r="I172" s="13"/>
      <c r="J172" s="14"/>
      <c r="K172" s="14"/>
      <c r="L172" s="12"/>
      <c r="M172" s="12"/>
      <c r="N172" s="12"/>
      <c r="O172" s="12"/>
      <c r="P172" s="13"/>
      <c r="Q172" s="7"/>
      <c r="R172" s="7"/>
      <c r="S172" s="7"/>
    </row>
    <row r="173" spans="1:19" x14ac:dyDescent="0.2">
      <c r="A173" s="7"/>
      <c r="B173" s="7"/>
      <c r="C173" s="9"/>
      <c r="D173" s="12"/>
      <c r="E173" s="31"/>
      <c r="F173" s="12"/>
      <c r="G173" s="12"/>
      <c r="H173" s="12"/>
      <c r="I173" s="13"/>
      <c r="J173" s="14"/>
      <c r="K173" s="14"/>
      <c r="L173" s="12"/>
      <c r="M173" s="12"/>
      <c r="N173" s="12"/>
      <c r="O173" s="12"/>
      <c r="P173" s="13"/>
      <c r="Q173" s="7"/>
      <c r="R173" s="7"/>
      <c r="S173" s="7"/>
    </row>
    <row r="174" spans="1:19" x14ac:dyDescent="0.2">
      <c r="A174" s="7"/>
      <c r="B174" s="7"/>
      <c r="C174" s="9"/>
      <c r="D174" s="12"/>
      <c r="E174" s="31"/>
      <c r="F174" s="12"/>
      <c r="G174" s="12"/>
      <c r="H174" s="12"/>
      <c r="I174" s="13"/>
      <c r="J174" s="14"/>
      <c r="K174" s="14"/>
      <c r="L174" s="12"/>
      <c r="M174" s="12"/>
      <c r="N174" s="12"/>
      <c r="O174" s="12"/>
      <c r="P174" s="13"/>
      <c r="Q174" s="7"/>
      <c r="R174" s="7"/>
      <c r="S174" s="7"/>
    </row>
    <row r="175" spans="1:19" x14ac:dyDescent="0.2">
      <c r="A175" s="7"/>
      <c r="B175" s="7"/>
      <c r="C175" s="9"/>
      <c r="D175" s="12"/>
      <c r="E175" s="31"/>
      <c r="F175" s="12"/>
      <c r="G175" s="12"/>
      <c r="H175" s="12"/>
      <c r="I175" s="13"/>
      <c r="J175" s="14"/>
      <c r="K175" s="14"/>
      <c r="L175" s="12"/>
      <c r="M175" s="12"/>
      <c r="N175" s="12"/>
      <c r="O175" s="12"/>
      <c r="P175" s="13"/>
      <c r="Q175" s="7"/>
      <c r="R175" s="7"/>
      <c r="S175" s="7"/>
    </row>
    <row r="176" spans="1:19" x14ac:dyDescent="0.2">
      <c r="A176" s="7"/>
      <c r="B176" s="7"/>
      <c r="C176" s="9"/>
      <c r="D176" s="12"/>
      <c r="E176" s="31"/>
      <c r="F176" s="12"/>
      <c r="G176" s="12"/>
      <c r="H176" s="12"/>
      <c r="I176" s="13"/>
      <c r="J176" s="14"/>
      <c r="K176" s="14"/>
      <c r="L176" s="12"/>
      <c r="M176" s="12"/>
      <c r="N176" s="12"/>
      <c r="O176" s="12"/>
      <c r="P176" s="13"/>
      <c r="Q176" s="7"/>
      <c r="R176" s="7"/>
      <c r="S176" s="7"/>
    </row>
    <row r="177" spans="1:19" x14ac:dyDescent="0.2">
      <c r="A177" s="7"/>
      <c r="B177" s="7"/>
      <c r="C177" s="9"/>
      <c r="D177" s="12"/>
      <c r="E177" s="31"/>
      <c r="F177" s="12"/>
      <c r="G177" s="12"/>
      <c r="H177" s="12"/>
      <c r="I177" s="13"/>
      <c r="J177" s="14"/>
      <c r="K177" s="14"/>
      <c r="L177" s="12"/>
      <c r="M177" s="12"/>
      <c r="N177" s="12"/>
      <c r="O177" s="12"/>
      <c r="P177" s="13"/>
      <c r="Q177" s="7"/>
      <c r="R177" s="7"/>
      <c r="S177" s="7"/>
    </row>
    <row r="178" spans="1:19" x14ac:dyDescent="0.2">
      <c r="A178" s="7"/>
      <c r="B178" s="7"/>
      <c r="C178" s="9"/>
      <c r="D178" s="12"/>
      <c r="E178" s="31"/>
      <c r="F178" s="12"/>
      <c r="G178" s="12"/>
      <c r="H178" s="12"/>
      <c r="I178" s="13"/>
      <c r="J178" s="14"/>
      <c r="K178" s="14"/>
      <c r="L178" s="12"/>
      <c r="M178" s="12"/>
      <c r="N178" s="12"/>
      <c r="O178" s="12"/>
      <c r="P178" s="13"/>
      <c r="Q178" s="7"/>
      <c r="R178" s="7"/>
      <c r="S178" s="7"/>
    </row>
    <row r="179" spans="1:19" x14ac:dyDescent="0.2">
      <c r="A179" s="7"/>
      <c r="B179" s="7"/>
      <c r="C179" s="9"/>
      <c r="D179" s="12"/>
      <c r="E179" s="31"/>
      <c r="F179" s="12"/>
      <c r="G179" s="12"/>
      <c r="H179" s="12"/>
      <c r="I179" s="13"/>
      <c r="J179" s="14"/>
      <c r="K179" s="14"/>
      <c r="L179" s="12"/>
      <c r="M179" s="12"/>
      <c r="N179" s="12"/>
      <c r="O179" s="12"/>
      <c r="P179" s="13"/>
      <c r="Q179" s="7"/>
      <c r="R179" s="7"/>
      <c r="S179" s="7"/>
    </row>
    <row r="180" spans="1:19" x14ac:dyDescent="0.2">
      <c r="A180" s="7"/>
      <c r="B180" s="7"/>
      <c r="C180" s="9"/>
      <c r="D180" s="12"/>
      <c r="E180" s="31"/>
      <c r="F180" s="12"/>
      <c r="G180" s="12"/>
      <c r="H180" s="12"/>
      <c r="I180" s="13"/>
      <c r="J180" s="14"/>
      <c r="K180" s="14"/>
      <c r="L180" s="12"/>
      <c r="M180" s="12"/>
      <c r="N180" s="12"/>
      <c r="O180" s="12"/>
      <c r="P180" s="13"/>
      <c r="Q180" s="7"/>
      <c r="R180" s="7"/>
      <c r="S180" s="7"/>
    </row>
    <row r="181" spans="1:19" x14ac:dyDescent="0.2">
      <c r="A181" s="7"/>
      <c r="B181" s="7"/>
      <c r="C181" s="9"/>
      <c r="D181" s="12"/>
      <c r="E181" s="31"/>
      <c r="F181" s="12"/>
      <c r="G181" s="12"/>
      <c r="H181" s="12"/>
      <c r="I181" s="13"/>
      <c r="J181" s="14"/>
      <c r="K181" s="14"/>
      <c r="L181" s="12"/>
      <c r="M181" s="12"/>
      <c r="N181" s="12"/>
      <c r="O181" s="12"/>
      <c r="P181" s="13"/>
      <c r="Q181" s="7"/>
      <c r="R181" s="7"/>
      <c r="S181" s="7"/>
    </row>
    <row r="182" spans="1:19" x14ac:dyDescent="0.2">
      <c r="A182" s="7"/>
      <c r="B182" s="7"/>
      <c r="C182" s="9"/>
      <c r="D182" s="12"/>
      <c r="E182" s="31"/>
      <c r="F182" s="12"/>
      <c r="G182" s="12"/>
      <c r="H182" s="12"/>
      <c r="I182" s="13"/>
      <c r="J182" s="14"/>
      <c r="K182" s="14"/>
      <c r="L182" s="12"/>
      <c r="M182" s="12"/>
      <c r="N182" s="12"/>
      <c r="O182" s="12"/>
      <c r="P182" s="13"/>
      <c r="Q182" s="7"/>
      <c r="R182" s="7"/>
      <c r="S182" s="7"/>
    </row>
    <row r="183" spans="1:19" x14ac:dyDescent="0.2">
      <c r="A183" s="7"/>
      <c r="B183" s="7"/>
      <c r="C183" s="9"/>
      <c r="D183" s="12"/>
      <c r="E183" s="31"/>
      <c r="F183" s="12"/>
      <c r="G183" s="12"/>
      <c r="H183" s="12"/>
      <c r="I183" s="13"/>
      <c r="J183" s="14"/>
      <c r="K183" s="14"/>
      <c r="L183" s="12"/>
      <c r="M183" s="12"/>
      <c r="N183" s="12"/>
      <c r="O183" s="12"/>
      <c r="P183" s="13"/>
      <c r="Q183" s="7"/>
      <c r="R183" s="7"/>
      <c r="S183" s="7"/>
    </row>
    <row r="184" spans="1:19" x14ac:dyDescent="0.2">
      <c r="A184" s="7"/>
      <c r="B184" s="7"/>
      <c r="C184" s="9"/>
      <c r="D184" s="12"/>
      <c r="E184" s="31"/>
      <c r="F184" s="12"/>
      <c r="G184" s="12"/>
      <c r="H184" s="12"/>
      <c r="I184" s="13"/>
      <c r="J184" s="14"/>
      <c r="K184" s="14"/>
      <c r="L184" s="12"/>
      <c r="M184" s="12"/>
      <c r="N184" s="12"/>
      <c r="O184" s="12"/>
      <c r="P184" s="13"/>
      <c r="Q184" s="7"/>
      <c r="R184" s="7"/>
      <c r="S184" s="7"/>
    </row>
    <row r="185" spans="1:19" x14ac:dyDescent="0.2">
      <c r="A185" s="7"/>
      <c r="B185" s="7"/>
      <c r="C185" s="9"/>
      <c r="D185" s="12"/>
      <c r="E185" s="31"/>
      <c r="F185" s="12"/>
      <c r="G185" s="12"/>
      <c r="H185" s="12"/>
      <c r="I185" s="13"/>
      <c r="J185" s="14"/>
      <c r="K185" s="14"/>
      <c r="L185" s="12"/>
      <c r="M185" s="12"/>
      <c r="N185" s="12"/>
      <c r="O185" s="12"/>
      <c r="P185" s="13"/>
      <c r="Q185" s="7"/>
      <c r="R185" s="7"/>
      <c r="S185" s="7"/>
    </row>
    <row r="186" spans="1:19" x14ac:dyDescent="0.2">
      <c r="A186" s="7"/>
      <c r="B186" s="7"/>
      <c r="C186" s="9"/>
      <c r="D186" s="12"/>
      <c r="E186" s="31"/>
      <c r="F186" s="12"/>
      <c r="G186" s="12"/>
      <c r="H186" s="12"/>
      <c r="I186" s="13"/>
      <c r="J186" s="14"/>
      <c r="K186" s="14"/>
      <c r="L186" s="12"/>
      <c r="M186" s="12"/>
      <c r="N186" s="12"/>
      <c r="O186" s="12"/>
      <c r="P186" s="13"/>
      <c r="Q186" s="7"/>
      <c r="R186" s="7"/>
      <c r="S186" s="7"/>
    </row>
    <row r="187" spans="1:19" x14ac:dyDescent="0.2">
      <c r="A187" s="7"/>
      <c r="B187" s="7"/>
      <c r="C187" s="9"/>
      <c r="D187" s="12"/>
      <c r="E187" s="31"/>
      <c r="F187" s="12"/>
      <c r="G187" s="12"/>
      <c r="H187" s="12"/>
      <c r="I187" s="13"/>
      <c r="J187" s="14"/>
      <c r="K187" s="14"/>
      <c r="L187" s="12"/>
      <c r="M187" s="12"/>
      <c r="N187" s="12"/>
      <c r="O187" s="12"/>
      <c r="P187" s="13"/>
      <c r="Q187" s="7"/>
      <c r="R187" s="7"/>
      <c r="S187" s="7"/>
    </row>
    <row r="188" spans="1:19" x14ac:dyDescent="0.2">
      <c r="A188" s="7"/>
      <c r="B188" s="7"/>
      <c r="C188" s="9"/>
      <c r="D188" s="12"/>
      <c r="E188" s="31"/>
      <c r="F188" s="12"/>
      <c r="G188" s="12"/>
      <c r="H188" s="12"/>
      <c r="I188" s="13"/>
      <c r="J188" s="14"/>
      <c r="K188" s="14"/>
      <c r="L188" s="12"/>
      <c r="M188" s="12"/>
      <c r="N188" s="12"/>
      <c r="O188" s="12"/>
      <c r="P188" s="13"/>
      <c r="Q188" s="7"/>
      <c r="R188" s="7"/>
      <c r="S188" s="7"/>
    </row>
    <row r="189" spans="1:19" x14ac:dyDescent="0.2">
      <c r="A189" s="7"/>
      <c r="B189" s="7"/>
      <c r="C189" s="9"/>
      <c r="D189" s="12"/>
      <c r="E189" s="31"/>
      <c r="F189" s="12"/>
      <c r="G189" s="12"/>
      <c r="H189" s="12"/>
      <c r="I189" s="13"/>
      <c r="J189" s="14"/>
      <c r="K189" s="14"/>
      <c r="L189" s="12"/>
      <c r="M189" s="12"/>
      <c r="N189" s="12"/>
      <c r="O189" s="12"/>
      <c r="P189" s="13"/>
      <c r="Q189" s="7"/>
      <c r="R189" s="7"/>
      <c r="S189" s="7"/>
    </row>
    <row r="190" spans="1:19" x14ac:dyDescent="0.2">
      <c r="A190" s="7"/>
      <c r="B190" s="7"/>
      <c r="C190" s="9"/>
      <c r="D190" s="12"/>
      <c r="E190" s="31"/>
      <c r="F190" s="12"/>
      <c r="G190" s="12"/>
      <c r="H190" s="12"/>
      <c r="I190" s="13"/>
      <c r="J190" s="14"/>
      <c r="K190" s="14"/>
      <c r="L190" s="12"/>
      <c r="M190" s="12"/>
      <c r="N190" s="12"/>
      <c r="O190" s="12"/>
      <c r="P190" s="13"/>
      <c r="Q190" s="7"/>
      <c r="R190" s="7"/>
      <c r="S190" s="7"/>
    </row>
    <row r="191" spans="1:19" x14ac:dyDescent="0.2">
      <c r="A191" s="7"/>
      <c r="B191" s="7"/>
      <c r="C191" s="9"/>
      <c r="D191" s="12"/>
      <c r="E191" s="31"/>
      <c r="F191" s="12"/>
      <c r="G191" s="12"/>
      <c r="H191" s="12"/>
      <c r="I191" s="13"/>
      <c r="J191" s="14"/>
      <c r="K191" s="14"/>
      <c r="L191" s="12"/>
      <c r="M191" s="12"/>
      <c r="N191" s="12"/>
      <c r="O191" s="12"/>
      <c r="P191" s="13"/>
      <c r="Q191" s="7"/>
      <c r="R191" s="7"/>
      <c r="S191" s="7"/>
    </row>
    <row r="192" spans="1:19" x14ac:dyDescent="0.2">
      <c r="A192" s="7"/>
      <c r="B192" s="7"/>
      <c r="C192" s="9"/>
      <c r="D192" s="12"/>
      <c r="E192" s="31"/>
      <c r="F192" s="12"/>
      <c r="G192" s="12"/>
      <c r="H192" s="12"/>
      <c r="I192" s="13"/>
      <c r="J192" s="14"/>
      <c r="K192" s="14"/>
      <c r="L192" s="12"/>
      <c r="M192" s="12"/>
      <c r="N192" s="12"/>
      <c r="O192" s="12"/>
      <c r="P192" s="13"/>
      <c r="Q192" s="7"/>
      <c r="R192" s="7"/>
      <c r="S192" s="7"/>
    </row>
    <row r="193" spans="1:19" x14ac:dyDescent="0.2">
      <c r="A193" s="7"/>
      <c r="B193" s="7"/>
      <c r="C193" s="9"/>
      <c r="D193" s="12"/>
      <c r="E193" s="31"/>
      <c r="F193" s="12"/>
      <c r="G193" s="12"/>
      <c r="H193" s="12"/>
      <c r="I193" s="13"/>
      <c r="J193" s="14"/>
      <c r="K193" s="14"/>
      <c r="L193" s="12"/>
      <c r="M193" s="12"/>
      <c r="N193" s="12"/>
      <c r="O193" s="12"/>
      <c r="P193" s="13"/>
      <c r="Q193" s="7"/>
      <c r="R193" s="7"/>
      <c r="S193" s="7"/>
    </row>
    <row r="194" spans="1:19" x14ac:dyDescent="0.2">
      <c r="A194" s="7"/>
      <c r="B194" s="7"/>
      <c r="C194" s="9"/>
      <c r="D194" s="12"/>
      <c r="E194" s="31"/>
      <c r="F194" s="12"/>
      <c r="G194" s="12"/>
      <c r="H194" s="12"/>
      <c r="I194" s="13"/>
      <c r="J194" s="14"/>
      <c r="K194" s="14"/>
      <c r="L194" s="12"/>
      <c r="M194" s="12"/>
      <c r="N194" s="12"/>
      <c r="O194" s="12"/>
      <c r="P194" s="13"/>
      <c r="Q194" s="7"/>
      <c r="R194" s="7"/>
      <c r="S194" s="7"/>
    </row>
    <row r="195" spans="1:19" x14ac:dyDescent="0.2">
      <c r="A195" s="7"/>
      <c r="B195" s="7"/>
      <c r="C195" s="9"/>
      <c r="D195" s="12"/>
      <c r="E195" s="31"/>
      <c r="F195" s="12"/>
      <c r="G195" s="12"/>
      <c r="H195" s="12"/>
      <c r="I195" s="13"/>
      <c r="J195" s="14"/>
      <c r="K195" s="14"/>
      <c r="L195" s="12"/>
      <c r="M195" s="12"/>
      <c r="N195" s="12"/>
      <c r="O195" s="12"/>
      <c r="P195" s="13"/>
      <c r="Q195" s="7"/>
      <c r="R195" s="7"/>
      <c r="S195" s="7"/>
    </row>
    <row r="196" spans="1:19" x14ac:dyDescent="0.2">
      <c r="A196" s="7"/>
      <c r="B196" s="7"/>
      <c r="C196" s="9"/>
      <c r="D196" s="12"/>
      <c r="E196" s="31"/>
      <c r="F196" s="12"/>
      <c r="G196" s="12"/>
      <c r="H196" s="12"/>
      <c r="I196" s="13"/>
      <c r="J196" s="14"/>
      <c r="K196" s="14"/>
      <c r="L196" s="12"/>
      <c r="M196" s="12"/>
      <c r="N196" s="12"/>
      <c r="O196" s="12"/>
      <c r="P196" s="13"/>
      <c r="Q196" s="7"/>
      <c r="R196" s="7"/>
      <c r="S196" s="7"/>
    </row>
    <row r="197" spans="1:19" x14ac:dyDescent="0.2">
      <c r="A197" s="7"/>
      <c r="B197" s="7"/>
      <c r="C197" s="9"/>
      <c r="D197" s="12"/>
      <c r="E197" s="31"/>
      <c r="F197" s="12"/>
      <c r="G197" s="12"/>
      <c r="H197" s="12"/>
      <c r="I197" s="13"/>
      <c r="J197" s="14"/>
      <c r="K197" s="14"/>
      <c r="L197" s="12"/>
      <c r="M197" s="12"/>
      <c r="N197" s="12"/>
      <c r="O197" s="12"/>
      <c r="P197" s="13"/>
      <c r="Q197" s="7"/>
      <c r="R197" s="7"/>
      <c r="S197" s="7"/>
    </row>
    <row r="198" spans="1:19" x14ac:dyDescent="0.2">
      <c r="A198" s="7"/>
      <c r="B198" s="7"/>
      <c r="C198" s="9"/>
      <c r="D198" s="12"/>
      <c r="E198" s="31"/>
      <c r="F198" s="12"/>
      <c r="G198" s="12"/>
      <c r="H198" s="12"/>
      <c r="I198" s="13"/>
      <c r="J198" s="14"/>
      <c r="K198" s="14"/>
      <c r="L198" s="12"/>
      <c r="M198" s="12"/>
      <c r="N198" s="12"/>
      <c r="O198" s="12"/>
      <c r="P198" s="13"/>
      <c r="Q198" s="7"/>
      <c r="R198" s="7"/>
      <c r="S198" s="7"/>
    </row>
    <row r="199" spans="1:19" x14ac:dyDescent="0.2">
      <c r="A199" s="7"/>
      <c r="B199" s="7"/>
      <c r="C199" s="9"/>
      <c r="D199" s="12"/>
      <c r="E199" s="31"/>
      <c r="F199" s="12"/>
      <c r="G199" s="12"/>
      <c r="H199" s="12"/>
      <c r="I199" s="13"/>
      <c r="J199" s="14"/>
      <c r="K199" s="14"/>
      <c r="L199" s="12"/>
      <c r="M199" s="12"/>
      <c r="N199" s="12"/>
      <c r="O199" s="12"/>
      <c r="P199" s="13"/>
      <c r="Q199" s="7"/>
      <c r="R199" s="7"/>
      <c r="S199" s="7"/>
    </row>
    <row r="200" spans="1:19" x14ac:dyDescent="0.2">
      <c r="A200" s="7"/>
      <c r="B200" s="7"/>
      <c r="C200" s="9"/>
      <c r="D200" s="12"/>
      <c r="E200" s="31"/>
      <c r="F200" s="12"/>
      <c r="G200" s="12"/>
      <c r="H200" s="12"/>
      <c r="I200" s="13"/>
      <c r="J200" s="14"/>
      <c r="K200" s="14"/>
      <c r="L200" s="12"/>
      <c r="M200" s="12"/>
      <c r="N200" s="12"/>
      <c r="O200" s="12"/>
      <c r="P200" s="13"/>
      <c r="Q200" s="7"/>
      <c r="R200" s="7"/>
      <c r="S200" s="7"/>
    </row>
    <row r="201" spans="1:19" x14ac:dyDescent="0.2">
      <c r="A201" s="7"/>
      <c r="B201" s="7"/>
      <c r="C201" s="9"/>
      <c r="D201" s="12"/>
      <c r="E201" s="31"/>
      <c r="F201" s="12"/>
      <c r="G201" s="12"/>
      <c r="H201" s="12"/>
      <c r="I201" s="13"/>
      <c r="J201" s="14"/>
      <c r="K201" s="14"/>
      <c r="L201" s="12"/>
      <c r="M201" s="12"/>
      <c r="N201" s="12"/>
      <c r="O201" s="12"/>
      <c r="P201" s="13"/>
      <c r="Q201" s="7"/>
      <c r="R201" s="7"/>
      <c r="S201" s="7"/>
    </row>
    <row r="202" spans="1:19" x14ac:dyDescent="0.2">
      <c r="A202" s="7"/>
      <c r="B202" s="7"/>
      <c r="C202" s="9"/>
      <c r="D202" s="12"/>
      <c r="E202" s="31"/>
      <c r="F202" s="12"/>
      <c r="G202" s="12"/>
      <c r="H202" s="12"/>
      <c r="I202" s="13"/>
      <c r="J202" s="14"/>
      <c r="K202" s="14"/>
      <c r="L202" s="12"/>
      <c r="M202" s="12"/>
      <c r="N202" s="12"/>
      <c r="O202" s="12"/>
      <c r="P202" s="13"/>
      <c r="Q202" s="7"/>
      <c r="R202" s="7"/>
      <c r="S202" s="7"/>
    </row>
    <row r="203" spans="1:19" x14ac:dyDescent="0.2">
      <c r="A203" s="7"/>
      <c r="B203" s="7"/>
      <c r="C203" s="9"/>
      <c r="D203" s="12"/>
      <c r="E203" s="31"/>
      <c r="F203" s="12"/>
      <c r="G203" s="12"/>
      <c r="H203" s="12"/>
      <c r="I203" s="13"/>
      <c r="J203" s="14"/>
      <c r="K203" s="14"/>
      <c r="L203" s="12"/>
      <c r="M203" s="12"/>
      <c r="N203" s="12"/>
      <c r="O203" s="12"/>
      <c r="P203" s="13"/>
      <c r="Q203" s="7"/>
      <c r="R203" s="7"/>
      <c r="S203" s="7"/>
    </row>
    <row r="204" spans="1:19" x14ac:dyDescent="0.2">
      <c r="A204" s="7"/>
      <c r="B204" s="7"/>
      <c r="C204" s="9"/>
      <c r="D204" s="12"/>
      <c r="E204" s="31"/>
      <c r="F204" s="12"/>
      <c r="G204" s="12"/>
      <c r="H204" s="12"/>
      <c r="I204" s="13"/>
      <c r="J204" s="14"/>
      <c r="K204" s="14"/>
      <c r="L204" s="12"/>
      <c r="M204" s="12"/>
      <c r="N204" s="12"/>
      <c r="O204" s="12"/>
      <c r="P204" s="13"/>
      <c r="Q204" s="7"/>
      <c r="R204" s="7"/>
      <c r="S204" s="7"/>
    </row>
    <row r="205" spans="1:19" x14ac:dyDescent="0.2">
      <c r="A205" s="7"/>
      <c r="B205" s="7"/>
      <c r="C205" s="9"/>
      <c r="D205" s="12"/>
      <c r="E205" s="31"/>
      <c r="F205" s="12"/>
      <c r="G205" s="12"/>
      <c r="H205" s="12"/>
      <c r="I205" s="13"/>
      <c r="J205" s="14"/>
      <c r="K205" s="14"/>
      <c r="L205" s="12"/>
      <c r="M205" s="12"/>
      <c r="N205" s="12"/>
      <c r="O205" s="12"/>
      <c r="P205" s="13"/>
      <c r="Q205" s="7"/>
      <c r="R205" s="7"/>
      <c r="S205" s="7"/>
    </row>
    <row r="206" spans="1:19" x14ac:dyDescent="0.2">
      <c r="A206" s="7"/>
      <c r="B206" s="7"/>
      <c r="C206" s="9"/>
      <c r="D206" s="12"/>
      <c r="E206" s="31"/>
      <c r="F206" s="12"/>
      <c r="G206" s="12"/>
      <c r="H206" s="12"/>
      <c r="I206" s="13"/>
      <c r="J206" s="14"/>
      <c r="K206" s="14"/>
      <c r="L206" s="12"/>
      <c r="M206" s="12"/>
      <c r="N206" s="12"/>
      <c r="O206" s="12"/>
      <c r="P206" s="13"/>
      <c r="Q206" s="7"/>
      <c r="R206" s="7"/>
      <c r="S206" s="7"/>
    </row>
    <row r="207" spans="1:19" x14ac:dyDescent="0.2">
      <c r="A207" s="7"/>
      <c r="B207" s="7"/>
      <c r="C207" s="9"/>
      <c r="D207" s="12"/>
      <c r="E207" s="31"/>
      <c r="F207" s="12"/>
      <c r="G207" s="12"/>
      <c r="H207" s="12"/>
      <c r="I207" s="13"/>
      <c r="J207" s="14"/>
      <c r="K207" s="14"/>
      <c r="L207" s="12"/>
      <c r="M207" s="12"/>
      <c r="N207" s="12"/>
      <c r="O207" s="12"/>
      <c r="P207" s="13"/>
      <c r="Q207" s="7"/>
      <c r="R207" s="7"/>
      <c r="S207" s="7"/>
    </row>
    <row r="208" spans="1:19" x14ac:dyDescent="0.2">
      <c r="A208" s="7"/>
      <c r="B208" s="7"/>
      <c r="C208" s="9"/>
      <c r="D208" s="12"/>
      <c r="E208" s="31"/>
      <c r="F208" s="12"/>
      <c r="G208" s="12"/>
      <c r="H208" s="12"/>
      <c r="I208" s="13"/>
      <c r="J208" s="14"/>
      <c r="K208" s="14"/>
      <c r="L208" s="12"/>
      <c r="M208" s="12"/>
      <c r="N208" s="12"/>
      <c r="O208" s="12"/>
      <c r="P208" s="13"/>
      <c r="Q208" s="7"/>
      <c r="R208" s="7"/>
      <c r="S208" s="7"/>
    </row>
    <row r="209" spans="1:19" x14ac:dyDescent="0.2">
      <c r="A209" s="7"/>
      <c r="B209" s="7"/>
      <c r="C209" s="9"/>
      <c r="D209" s="12"/>
      <c r="E209" s="31"/>
      <c r="F209" s="12"/>
      <c r="G209" s="12"/>
      <c r="H209" s="12"/>
      <c r="I209" s="13"/>
      <c r="J209" s="14"/>
      <c r="K209" s="14"/>
      <c r="L209" s="12"/>
      <c r="M209" s="12"/>
      <c r="N209" s="12"/>
      <c r="O209" s="12"/>
      <c r="P209" s="13"/>
      <c r="Q209" s="7"/>
      <c r="R209" s="7"/>
      <c r="S209" s="7"/>
    </row>
    <row r="210" spans="1:19" x14ac:dyDescent="0.2">
      <c r="A210" s="7"/>
      <c r="B210" s="7"/>
      <c r="C210" s="9"/>
      <c r="D210" s="12"/>
      <c r="E210" s="31"/>
      <c r="F210" s="12"/>
      <c r="G210" s="12"/>
      <c r="H210" s="12"/>
      <c r="I210" s="13"/>
      <c r="J210" s="14"/>
      <c r="K210" s="14"/>
      <c r="L210" s="12"/>
      <c r="M210" s="12"/>
      <c r="N210" s="12"/>
      <c r="O210" s="12"/>
      <c r="P210" s="13"/>
      <c r="Q210" s="7"/>
      <c r="R210" s="7"/>
      <c r="S210" s="7"/>
    </row>
    <row r="211" spans="1:19" x14ac:dyDescent="0.2">
      <c r="A211" s="7"/>
      <c r="B211" s="7"/>
      <c r="C211" s="9"/>
      <c r="D211" s="12"/>
      <c r="E211" s="31"/>
      <c r="F211" s="12"/>
      <c r="G211" s="12"/>
      <c r="H211" s="12"/>
      <c r="I211" s="13"/>
      <c r="J211" s="14"/>
      <c r="K211" s="14"/>
      <c r="L211" s="12"/>
      <c r="M211" s="12"/>
      <c r="N211" s="12"/>
      <c r="O211" s="12"/>
      <c r="P211" s="13"/>
      <c r="Q211" s="7"/>
      <c r="R211" s="7"/>
      <c r="S211" s="7"/>
    </row>
    <row r="212" spans="1:19" x14ac:dyDescent="0.2">
      <c r="A212" s="7"/>
      <c r="B212" s="7"/>
      <c r="C212" s="9"/>
      <c r="D212" s="12"/>
      <c r="E212" s="31"/>
      <c r="F212" s="12"/>
      <c r="G212" s="12"/>
      <c r="H212" s="12"/>
      <c r="I212" s="13"/>
      <c r="J212" s="14"/>
      <c r="K212" s="14"/>
      <c r="L212" s="12"/>
      <c r="M212" s="12"/>
      <c r="N212" s="12"/>
      <c r="O212" s="12"/>
      <c r="P212" s="13"/>
      <c r="Q212" s="7"/>
      <c r="R212" s="7"/>
      <c r="S212" s="7"/>
    </row>
    <row r="213" spans="1:19" x14ac:dyDescent="0.2">
      <c r="A213" s="7"/>
      <c r="B213" s="7"/>
      <c r="C213" s="9"/>
      <c r="D213" s="12"/>
      <c r="E213" s="31"/>
      <c r="F213" s="12"/>
      <c r="G213" s="12"/>
      <c r="H213" s="12"/>
      <c r="I213" s="13"/>
      <c r="J213" s="14"/>
      <c r="K213" s="14"/>
      <c r="L213" s="12"/>
      <c r="M213" s="12"/>
      <c r="N213" s="12"/>
      <c r="O213" s="12"/>
      <c r="P213" s="13"/>
      <c r="Q213" s="7"/>
      <c r="R213" s="7"/>
      <c r="S213" s="7"/>
    </row>
    <row r="214" spans="1:19" x14ac:dyDescent="0.2">
      <c r="A214" s="7"/>
      <c r="B214" s="7"/>
      <c r="C214" s="9"/>
      <c r="D214" s="12"/>
      <c r="E214" s="31"/>
      <c r="F214" s="12"/>
      <c r="G214" s="12"/>
      <c r="H214" s="12"/>
      <c r="I214" s="13"/>
      <c r="J214" s="14"/>
      <c r="K214" s="14"/>
      <c r="L214" s="12"/>
      <c r="M214" s="12"/>
      <c r="N214" s="12"/>
      <c r="O214" s="12"/>
      <c r="P214" s="13"/>
      <c r="Q214" s="7"/>
      <c r="R214" s="7"/>
      <c r="S214" s="7"/>
    </row>
    <row r="215" spans="1:19" x14ac:dyDescent="0.2">
      <c r="A215" s="7"/>
      <c r="B215" s="7"/>
      <c r="C215" s="9"/>
      <c r="D215" s="12"/>
      <c r="E215" s="31"/>
      <c r="F215" s="12"/>
      <c r="G215" s="12"/>
      <c r="H215" s="12"/>
      <c r="I215" s="13"/>
      <c r="J215" s="14"/>
      <c r="K215" s="14"/>
      <c r="L215" s="12"/>
      <c r="M215" s="12"/>
      <c r="N215" s="12"/>
      <c r="O215" s="12"/>
      <c r="P215" s="13"/>
      <c r="Q215" s="7"/>
      <c r="R215" s="7"/>
      <c r="S215" s="7"/>
    </row>
    <row r="216" spans="1:19" x14ac:dyDescent="0.2">
      <c r="A216" s="7"/>
      <c r="B216" s="7"/>
      <c r="C216" s="9"/>
      <c r="D216" s="12"/>
      <c r="E216" s="31"/>
      <c r="F216" s="12"/>
      <c r="G216" s="12"/>
      <c r="H216" s="12"/>
      <c r="I216" s="13"/>
      <c r="J216" s="14"/>
      <c r="K216" s="14"/>
      <c r="L216" s="12"/>
      <c r="M216" s="12"/>
      <c r="N216" s="12"/>
      <c r="O216" s="12"/>
      <c r="P216" s="13"/>
      <c r="Q216" s="7"/>
      <c r="R216" s="7"/>
      <c r="S216" s="7"/>
    </row>
    <row r="217" spans="1:19" x14ac:dyDescent="0.2">
      <c r="A217" s="7"/>
      <c r="B217" s="7"/>
      <c r="C217" s="9"/>
      <c r="D217" s="12"/>
      <c r="E217" s="31"/>
      <c r="F217" s="12"/>
      <c r="G217" s="12"/>
      <c r="H217" s="12"/>
      <c r="I217" s="13"/>
      <c r="J217" s="14"/>
      <c r="K217" s="14"/>
      <c r="L217" s="12"/>
      <c r="M217" s="12"/>
      <c r="N217" s="12"/>
      <c r="O217" s="12"/>
      <c r="P217" s="13"/>
      <c r="Q217" s="7"/>
      <c r="R217" s="7"/>
      <c r="S217" s="7"/>
    </row>
    <row r="218" spans="1:19" x14ac:dyDescent="0.2">
      <c r="A218" s="7"/>
      <c r="B218" s="7"/>
      <c r="C218" s="9"/>
      <c r="D218" s="12"/>
      <c r="E218" s="31"/>
      <c r="F218" s="12"/>
      <c r="G218" s="12"/>
      <c r="H218" s="12"/>
      <c r="I218" s="13"/>
      <c r="J218" s="14"/>
      <c r="K218" s="14"/>
      <c r="L218" s="12"/>
      <c r="M218" s="12"/>
      <c r="N218" s="12"/>
      <c r="O218" s="12"/>
      <c r="P218" s="13"/>
      <c r="Q218" s="7"/>
      <c r="R218" s="7"/>
      <c r="S218" s="7"/>
    </row>
    <row r="219" spans="1:19" x14ac:dyDescent="0.2">
      <c r="A219" s="7"/>
      <c r="B219" s="7"/>
      <c r="C219" s="9"/>
      <c r="D219" s="12"/>
      <c r="E219" s="31"/>
      <c r="F219" s="12"/>
      <c r="G219" s="12"/>
      <c r="H219" s="12"/>
      <c r="I219" s="13"/>
      <c r="J219" s="14"/>
      <c r="K219" s="14"/>
      <c r="L219" s="12"/>
      <c r="M219" s="12"/>
      <c r="N219" s="12"/>
      <c r="O219" s="12"/>
      <c r="P219" s="13"/>
      <c r="Q219" s="7"/>
      <c r="R219" s="7"/>
      <c r="S219" s="7"/>
    </row>
    <row r="220" spans="1:19" x14ac:dyDescent="0.2">
      <c r="A220" s="7"/>
      <c r="B220" s="7"/>
      <c r="C220" s="9"/>
      <c r="D220" s="12"/>
      <c r="E220" s="31"/>
      <c r="F220" s="12"/>
      <c r="G220" s="12"/>
      <c r="H220" s="12"/>
      <c r="I220" s="13"/>
      <c r="J220" s="14"/>
      <c r="K220" s="14"/>
      <c r="L220" s="12"/>
      <c r="M220" s="12"/>
      <c r="N220" s="12"/>
      <c r="O220" s="12"/>
      <c r="P220" s="13"/>
      <c r="Q220" s="7"/>
      <c r="R220" s="7"/>
      <c r="S220" s="7"/>
    </row>
    <row r="221" spans="1:19" x14ac:dyDescent="0.2">
      <c r="A221" s="7"/>
      <c r="B221" s="7"/>
      <c r="C221" s="9"/>
      <c r="D221" s="12"/>
      <c r="E221" s="31"/>
      <c r="F221" s="12"/>
      <c r="G221" s="12"/>
      <c r="H221" s="12"/>
      <c r="I221" s="13"/>
      <c r="J221" s="14"/>
      <c r="K221" s="14"/>
      <c r="L221" s="12"/>
      <c r="M221" s="12"/>
      <c r="N221" s="12"/>
      <c r="O221" s="12"/>
      <c r="P221" s="13"/>
      <c r="Q221" s="7"/>
      <c r="R221" s="7"/>
      <c r="S221" s="7"/>
    </row>
    <row r="222" spans="1:19" x14ac:dyDescent="0.2">
      <c r="A222" s="7"/>
      <c r="B222" s="7"/>
      <c r="C222" s="9"/>
      <c r="D222" s="12"/>
      <c r="E222" s="31"/>
      <c r="F222" s="12"/>
      <c r="G222" s="12"/>
      <c r="H222" s="12"/>
      <c r="I222" s="13"/>
      <c r="J222" s="14"/>
      <c r="K222" s="14"/>
      <c r="L222" s="12"/>
      <c r="M222" s="12"/>
      <c r="N222" s="12"/>
      <c r="O222" s="12"/>
      <c r="P222" s="13"/>
      <c r="Q222" s="7"/>
      <c r="R222" s="7"/>
      <c r="S222" s="7"/>
    </row>
    <row r="223" spans="1:19" x14ac:dyDescent="0.2">
      <c r="A223" s="7"/>
      <c r="B223" s="7"/>
      <c r="C223" s="9"/>
      <c r="D223" s="12"/>
      <c r="E223" s="31"/>
      <c r="F223" s="12"/>
      <c r="G223" s="12"/>
      <c r="H223" s="12"/>
      <c r="I223" s="13"/>
      <c r="J223" s="14"/>
      <c r="K223" s="14"/>
      <c r="L223" s="12"/>
      <c r="M223" s="12"/>
      <c r="N223" s="12"/>
      <c r="O223" s="12"/>
      <c r="P223" s="13"/>
      <c r="Q223" s="7"/>
      <c r="R223" s="7"/>
      <c r="S223" s="7"/>
    </row>
    <row r="224" spans="1:19" x14ac:dyDescent="0.2">
      <c r="A224" s="7"/>
      <c r="B224" s="7"/>
      <c r="C224" s="9"/>
      <c r="D224" s="12"/>
      <c r="E224" s="31"/>
      <c r="F224" s="12"/>
      <c r="G224" s="12"/>
      <c r="H224" s="12"/>
      <c r="I224" s="13"/>
      <c r="J224" s="14"/>
      <c r="K224" s="14"/>
      <c r="L224" s="12"/>
      <c r="M224" s="12"/>
      <c r="N224" s="12"/>
      <c r="O224" s="12"/>
      <c r="P224" s="13"/>
      <c r="Q224" s="7"/>
      <c r="R224" s="7"/>
      <c r="S224" s="7"/>
    </row>
    <row r="225" spans="1:19" x14ac:dyDescent="0.2">
      <c r="A225" s="7"/>
      <c r="B225" s="7"/>
      <c r="C225" s="9"/>
      <c r="D225" s="12"/>
      <c r="E225" s="31"/>
      <c r="F225" s="12"/>
      <c r="G225" s="12"/>
      <c r="H225" s="12"/>
      <c r="I225" s="13"/>
      <c r="J225" s="14"/>
      <c r="K225" s="14"/>
      <c r="L225" s="12"/>
      <c r="M225" s="12"/>
      <c r="N225" s="12"/>
      <c r="O225" s="12"/>
      <c r="P225" s="13"/>
      <c r="Q225" s="7"/>
      <c r="R225" s="7"/>
      <c r="S225" s="7"/>
    </row>
    <row r="226" spans="1:19" x14ac:dyDescent="0.2">
      <c r="A226" s="7"/>
      <c r="B226" s="7"/>
      <c r="C226" s="9"/>
      <c r="D226" s="12"/>
      <c r="E226" s="31"/>
      <c r="F226" s="12"/>
      <c r="G226" s="12"/>
      <c r="H226" s="12"/>
      <c r="I226" s="13"/>
      <c r="J226" s="14"/>
      <c r="K226" s="14"/>
      <c r="L226" s="12"/>
      <c r="M226" s="12"/>
      <c r="N226" s="12"/>
      <c r="O226" s="12"/>
      <c r="P226" s="13"/>
      <c r="Q226" s="7"/>
      <c r="R226" s="7"/>
      <c r="S226" s="7"/>
    </row>
    <row r="227" spans="1:19" x14ac:dyDescent="0.2">
      <c r="A227" s="7"/>
      <c r="B227" s="7"/>
      <c r="C227" s="9"/>
      <c r="D227" s="12"/>
      <c r="E227" s="31"/>
      <c r="F227" s="12"/>
      <c r="G227" s="12"/>
      <c r="H227" s="12"/>
      <c r="I227" s="13"/>
      <c r="J227" s="14"/>
      <c r="K227" s="14"/>
      <c r="L227" s="12"/>
      <c r="M227" s="12"/>
      <c r="N227" s="12"/>
      <c r="O227" s="12"/>
      <c r="P227" s="13"/>
      <c r="Q227" s="7"/>
      <c r="R227" s="7"/>
      <c r="S227" s="7"/>
    </row>
    <row r="228" spans="1:19" x14ac:dyDescent="0.2">
      <c r="A228" s="7"/>
      <c r="B228" s="7"/>
      <c r="C228" s="9"/>
      <c r="D228" s="12"/>
      <c r="E228" s="31"/>
      <c r="F228" s="12"/>
      <c r="G228" s="12"/>
      <c r="H228" s="12"/>
      <c r="I228" s="13"/>
      <c r="J228" s="14"/>
      <c r="K228" s="14"/>
      <c r="L228" s="12"/>
      <c r="M228" s="12"/>
      <c r="N228" s="12"/>
      <c r="O228" s="12"/>
      <c r="P228" s="13"/>
      <c r="Q228" s="7"/>
      <c r="R228" s="7"/>
      <c r="S228" s="7"/>
    </row>
    <row r="229" spans="1:19" x14ac:dyDescent="0.2">
      <c r="A229" s="7"/>
      <c r="B229" s="7"/>
      <c r="C229" s="9"/>
      <c r="D229" s="12"/>
      <c r="E229" s="31"/>
      <c r="F229" s="12"/>
      <c r="G229" s="12"/>
      <c r="H229" s="12"/>
      <c r="I229" s="13"/>
      <c r="J229" s="14"/>
      <c r="K229" s="14"/>
      <c r="L229" s="12"/>
      <c r="M229" s="12"/>
      <c r="N229" s="12"/>
      <c r="O229" s="12"/>
      <c r="P229" s="13"/>
      <c r="Q229" s="7"/>
      <c r="R229" s="7"/>
      <c r="S229" s="7"/>
    </row>
    <row r="230" spans="1:19" x14ac:dyDescent="0.2">
      <c r="A230" s="7"/>
      <c r="B230" s="7"/>
      <c r="C230" s="9"/>
      <c r="D230" s="12"/>
      <c r="E230" s="31"/>
      <c r="F230" s="12"/>
      <c r="G230" s="12"/>
      <c r="H230" s="12"/>
      <c r="I230" s="13"/>
      <c r="J230" s="14"/>
      <c r="K230" s="14"/>
      <c r="L230" s="12"/>
      <c r="M230" s="12"/>
      <c r="N230" s="12"/>
      <c r="O230" s="12"/>
      <c r="P230" s="13"/>
      <c r="Q230" s="7"/>
      <c r="R230" s="7"/>
      <c r="S230" s="7"/>
    </row>
    <row r="231" spans="1:19" x14ac:dyDescent="0.2">
      <c r="A231" s="7"/>
      <c r="B231" s="7"/>
      <c r="C231" s="9"/>
      <c r="D231" s="12"/>
      <c r="E231" s="31"/>
      <c r="F231" s="12"/>
      <c r="G231" s="12"/>
      <c r="H231" s="12"/>
      <c r="I231" s="13"/>
      <c r="J231" s="14"/>
      <c r="K231" s="14"/>
      <c r="L231" s="12"/>
      <c r="M231" s="12"/>
      <c r="N231" s="12"/>
      <c r="O231" s="12"/>
      <c r="P231" s="13"/>
      <c r="Q231" s="7"/>
      <c r="R231" s="7"/>
      <c r="S231" s="7"/>
    </row>
    <row r="232" spans="1:19" x14ac:dyDescent="0.2">
      <c r="A232" s="7"/>
      <c r="B232" s="7"/>
      <c r="C232" s="9"/>
      <c r="D232" s="12"/>
      <c r="E232" s="31"/>
      <c r="F232" s="12"/>
      <c r="G232" s="12"/>
      <c r="H232" s="12"/>
      <c r="I232" s="13"/>
      <c r="J232" s="14"/>
      <c r="K232" s="14"/>
      <c r="L232" s="12"/>
      <c r="M232" s="12"/>
      <c r="N232" s="12"/>
      <c r="O232" s="12"/>
      <c r="P232" s="13"/>
      <c r="Q232" s="7"/>
      <c r="R232" s="7"/>
      <c r="S232" s="7"/>
    </row>
    <row r="233" spans="1:19" x14ac:dyDescent="0.2">
      <c r="A233" s="7"/>
      <c r="B233" s="7"/>
      <c r="C233" s="9"/>
      <c r="D233" s="12"/>
      <c r="E233" s="31"/>
      <c r="F233" s="12"/>
      <c r="G233" s="12"/>
      <c r="H233" s="12"/>
      <c r="I233" s="13"/>
      <c r="J233" s="14"/>
      <c r="K233" s="14"/>
      <c r="L233" s="12"/>
      <c r="M233" s="12"/>
      <c r="N233" s="12"/>
      <c r="O233" s="12"/>
      <c r="P233" s="13"/>
      <c r="Q233" s="7"/>
      <c r="R233" s="7"/>
      <c r="S233" s="7"/>
    </row>
    <row r="234" spans="1:19" x14ac:dyDescent="0.2">
      <c r="A234" s="7"/>
      <c r="B234" s="7"/>
      <c r="C234" s="9"/>
      <c r="D234" s="12"/>
      <c r="E234" s="31"/>
      <c r="F234" s="12"/>
      <c r="G234" s="12"/>
      <c r="H234" s="12"/>
      <c r="I234" s="13"/>
      <c r="J234" s="14"/>
      <c r="K234" s="14"/>
      <c r="L234" s="12"/>
      <c r="M234" s="12"/>
      <c r="N234" s="12"/>
      <c r="O234" s="12"/>
      <c r="P234" s="13"/>
      <c r="Q234" s="7"/>
      <c r="R234" s="7"/>
      <c r="S234" s="7"/>
    </row>
    <row r="235" spans="1:19" x14ac:dyDescent="0.2">
      <c r="A235" s="7"/>
      <c r="B235" s="7"/>
      <c r="C235" s="9"/>
      <c r="D235" s="12"/>
      <c r="E235" s="31"/>
      <c r="F235" s="12"/>
      <c r="G235" s="12"/>
      <c r="H235" s="12"/>
      <c r="I235" s="13"/>
      <c r="J235" s="14"/>
      <c r="K235" s="14"/>
      <c r="L235" s="12"/>
      <c r="M235" s="12"/>
      <c r="N235" s="12"/>
      <c r="O235" s="12"/>
      <c r="P235" s="13"/>
      <c r="Q235" s="7"/>
      <c r="R235" s="7"/>
      <c r="S235" s="7"/>
    </row>
    <row r="236" spans="1:19" x14ac:dyDescent="0.2">
      <c r="A236" s="7"/>
      <c r="B236" s="7"/>
      <c r="C236" s="9"/>
      <c r="D236" s="12"/>
      <c r="E236" s="31"/>
      <c r="F236" s="12"/>
      <c r="G236" s="12"/>
      <c r="H236" s="12"/>
      <c r="I236" s="13"/>
      <c r="J236" s="14"/>
      <c r="K236" s="14"/>
      <c r="L236" s="12"/>
      <c r="M236" s="12"/>
      <c r="N236" s="12"/>
      <c r="O236" s="12"/>
      <c r="P236" s="13"/>
      <c r="Q236" s="7"/>
      <c r="R236" s="7"/>
      <c r="S236" s="7"/>
    </row>
    <row r="237" spans="1:19" x14ac:dyDescent="0.2">
      <c r="A237" s="7"/>
      <c r="B237" s="7"/>
      <c r="C237" s="9"/>
      <c r="D237" s="12"/>
      <c r="E237" s="31"/>
      <c r="F237" s="12"/>
      <c r="G237" s="12"/>
      <c r="H237" s="12"/>
      <c r="I237" s="13"/>
      <c r="J237" s="14"/>
      <c r="K237" s="14"/>
      <c r="L237" s="12"/>
      <c r="M237" s="12"/>
      <c r="N237" s="12"/>
      <c r="O237" s="12"/>
      <c r="P237" s="13"/>
      <c r="Q237" s="7"/>
      <c r="R237" s="7"/>
      <c r="S237" s="7"/>
    </row>
    <row r="238" spans="1:19" x14ac:dyDescent="0.2">
      <c r="A238" s="7"/>
      <c r="B238" s="7"/>
      <c r="C238" s="9"/>
      <c r="D238" s="12"/>
      <c r="E238" s="31"/>
      <c r="F238" s="12"/>
      <c r="G238" s="12"/>
      <c r="H238" s="12"/>
      <c r="I238" s="13"/>
      <c r="J238" s="14"/>
      <c r="K238" s="14"/>
      <c r="L238" s="12"/>
      <c r="M238" s="12"/>
      <c r="N238" s="12"/>
      <c r="O238" s="12"/>
      <c r="P238" s="13"/>
      <c r="Q238" s="7"/>
      <c r="R238" s="7"/>
      <c r="S238" s="7"/>
    </row>
    <row r="239" spans="1:19" x14ac:dyDescent="0.2">
      <c r="A239" s="7"/>
      <c r="B239" s="7"/>
      <c r="C239" s="9"/>
      <c r="D239" s="12"/>
      <c r="E239" s="31"/>
      <c r="F239" s="12"/>
      <c r="G239" s="12"/>
      <c r="H239" s="12"/>
      <c r="I239" s="13"/>
      <c r="J239" s="14"/>
      <c r="K239" s="14"/>
      <c r="L239" s="12"/>
      <c r="M239" s="12"/>
      <c r="N239" s="12"/>
      <c r="O239" s="12"/>
      <c r="P239" s="13"/>
      <c r="Q239" s="7"/>
      <c r="R239" s="7"/>
      <c r="S239" s="7"/>
    </row>
    <row r="240" spans="1:19" x14ac:dyDescent="0.2">
      <c r="A240" s="7"/>
      <c r="B240" s="7"/>
      <c r="C240" s="9"/>
      <c r="D240" s="12"/>
      <c r="E240" s="31"/>
      <c r="F240" s="12"/>
      <c r="G240" s="12"/>
      <c r="H240" s="12"/>
      <c r="I240" s="13"/>
      <c r="J240" s="14"/>
      <c r="K240" s="14"/>
      <c r="L240" s="12"/>
      <c r="M240" s="12"/>
      <c r="N240" s="12"/>
      <c r="O240" s="12"/>
      <c r="P240" s="13"/>
      <c r="Q240" s="7"/>
      <c r="R240" s="7"/>
      <c r="S240" s="7"/>
    </row>
    <row r="241" spans="1:19" x14ac:dyDescent="0.2">
      <c r="A241" s="7"/>
      <c r="B241" s="7"/>
      <c r="C241" s="9"/>
      <c r="D241" s="12"/>
      <c r="E241" s="31"/>
      <c r="F241" s="12"/>
      <c r="G241" s="12"/>
      <c r="H241" s="12"/>
      <c r="I241" s="13"/>
      <c r="J241" s="14"/>
      <c r="K241" s="14"/>
      <c r="L241" s="12"/>
      <c r="M241" s="12"/>
      <c r="N241" s="12"/>
      <c r="O241" s="12"/>
      <c r="P241" s="13"/>
      <c r="Q241" s="7"/>
      <c r="R241" s="7"/>
      <c r="S241" s="7"/>
    </row>
    <row r="242" spans="1:19" x14ac:dyDescent="0.2">
      <c r="A242" s="7"/>
      <c r="B242" s="7"/>
      <c r="C242" s="9"/>
      <c r="D242" s="12"/>
      <c r="E242" s="31"/>
      <c r="F242" s="12"/>
      <c r="G242" s="12"/>
      <c r="H242" s="12"/>
      <c r="I242" s="13"/>
      <c r="J242" s="14"/>
      <c r="K242" s="14"/>
      <c r="L242" s="12"/>
      <c r="M242" s="12"/>
      <c r="N242" s="12"/>
      <c r="O242" s="12"/>
      <c r="P242" s="13"/>
      <c r="Q242" s="7"/>
      <c r="R242" s="7"/>
      <c r="S242" s="7"/>
    </row>
    <row r="243" spans="1:19" x14ac:dyDescent="0.2">
      <c r="A243" s="7"/>
      <c r="B243" s="7"/>
      <c r="C243" s="9"/>
      <c r="D243" s="12"/>
      <c r="E243" s="31"/>
      <c r="F243" s="12"/>
      <c r="G243" s="12"/>
      <c r="H243" s="12"/>
      <c r="I243" s="13"/>
      <c r="J243" s="14"/>
      <c r="K243" s="14"/>
      <c r="L243" s="12"/>
      <c r="M243" s="12"/>
      <c r="N243" s="12"/>
      <c r="O243" s="12"/>
      <c r="P243" s="13"/>
      <c r="Q243" s="7"/>
      <c r="R243" s="7"/>
      <c r="S243" s="7"/>
    </row>
    <row r="244" spans="1:19" x14ac:dyDescent="0.2">
      <c r="A244" s="7"/>
      <c r="B244" s="7"/>
      <c r="C244" s="9"/>
      <c r="D244" s="12"/>
      <c r="E244" s="31"/>
      <c r="F244" s="12"/>
      <c r="G244" s="12"/>
      <c r="H244" s="12"/>
      <c r="I244" s="13"/>
      <c r="J244" s="14"/>
      <c r="K244" s="14"/>
      <c r="L244" s="12"/>
      <c r="M244" s="12"/>
      <c r="N244" s="12"/>
      <c r="O244" s="12"/>
      <c r="P244" s="13"/>
      <c r="Q244" s="7"/>
      <c r="R244" s="7"/>
      <c r="S244" s="7"/>
    </row>
    <row r="245" spans="1:19" x14ac:dyDescent="0.2">
      <c r="A245" s="7"/>
      <c r="B245" s="7"/>
      <c r="C245" s="9"/>
      <c r="D245" s="12"/>
      <c r="E245" s="31"/>
      <c r="F245" s="12"/>
      <c r="G245" s="12"/>
      <c r="H245" s="12"/>
      <c r="I245" s="13"/>
      <c r="J245" s="14"/>
      <c r="K245" s="14"/>
      <c r="L245" s="12"/>
      <c r="M245" s="12"/>
      <c r="N245" s="12"/>
      <c r="O245" s="12"/>
      <c r="P245" s="13"/>
      <c r="Q245" s="7"/>
      <c r="R245" s="7"/>
      <c r="S245" s="7"/>
    </row>
    <row r="246" spans="1:19" x14ac:dyDescent="0.2">
      <c r="A246" s="7"/>
      <c r="B246" s="7"/>
      <c r="C246" s="9"/>
      <c r="D246" s="12"/>
      <c r="E246" s="31"/>
      <c r="F246" s="12"/>
      <c r="G246" s="12"/>
      <c r="H246" s="12"/>
      <c r="I246" s="13"/>
      <c r="J246" s="14"/>
      <c r="K246" s="14"/>
      <c r="L246" s="12"/>
      <c r="M246" s="12"/>
      <c r="N246" s="12"/>
      <c r="O246" s="12"/>
      <c r="P246" s="13"/>
      <c r="Q246" s="7"/>
      <c r="R246" s="7"/>
      <c r="S246" s="7"/>
    </row>
    <row r="247" spans="1:19" x14ac:dyDescent="0.2">
      <c r="A247" s="7"/>
      <c r="B247" s="7"/>
      <c r="C247" s="9"/>
      <c r="D247" s="12"/>
      <c r="E247" s="31"/>
      <c r="F247" s="12"/>
      <c r="G247" s="12"/>
      <c r="H247" s="12"/>
      <c r="I247" s="13"/>
      <c r="J247" s="14"/>
      <c r="K247" s="14"/>
      <c r="L247" s="12"/>
      <c r="M247" s="12"/>
      <c r="N247" s="12"/>
      <c r="O247" s="12"/>
      <c r="P247" s="13"/>
      <c r="Q247" s="7"/>
      <c r="R247" s="7"/>
      <c r="S247" s="7"/>
    </row>
    <row r="248" spans="1:19" x14ac:dyDescent="0.2">
      <c r="A248" s="7"/>
      <c r="B248" s="7"/>
      <c r="C248" s="9"/>
      <c r="D248" s="12"/>
      <c r="E248" s="31"/>
      <c r="F248" s="12"/>
      <c r="G248" s="12"/>
      <c r="H248" s="12"/>
      <c r="I248" s="13"/>
      <c r="J248" s="14"/>
      <c r="K248" s="14"/>
      <c r="L248" s="12"/>
      <c r="M248" s="12"/>
      <c r="N248" s="12"/>
      <c r="O248" s="12"/>
      <c r="P248" s="13"/>
      <c r="Q248" s="7"/>
      <c r="R248" s="7"/>
      <c r="S248" s="7"/>
    </row>
    <row r="249" spans="1:19" x14ac:dyDescent="0.2">
      <c r="A249" s="7"/>
      <c r="B249" s="7"/>
      <c r="C249" s="9"/>
      <c r="D249" s="12"/>
      <c r="E249" s="31"/>
      <c r="F249" s="12"/>
      <c r="G249" s="12"/>
      <c r="H249" s="12"/>
      <c r="I249" s="13"/>
      <c r="J249" s="14"/>
      <c r="K249" s="14"/>
      <c r="L249" s="12"/>
      <c r="M249" s="12"/>
      <c r="N249" s="12"/>
      <c r="O249" s="12"/>
      <c r="P249" s="13"/>
      <c r="Q249" s="7"/>
      <c r="R249" s="7"/>
      <c r="S249" s="7"/>
    </row>
    <row r="250" spans="1:19" x14ac:dyDescent="0.2">
      <c r="A250" s="7"/>
      <c r="B250" s="7"/>
      <c r="C250" s="9"/>
      <c r="D250" s="12"/>
      <c r="E250" s="31"/>
      <c r="F250" s="12"/>
      <c r="G250" s="12"/>
      <c r="H250" s="12"/>
      <c r="I250" s="13"/>
      <c r="J250" s="14"/>
      <c r="K250" s="14"/>
      <c r="L250" s="12"/>
      <c r="M250" s="12"/>
      <c r="N250" s="12"/>
      <c r="O250" s="12"/>
      <c r="P250" s="13"/>
      <c r="Q250" s="7"/>
      <c r="R250" s="7"/>
      <c r="S250" s="7"/>
    </row>
    <row r="251" spans="1:19" x14ac:dyDescent="0.2">
      <c r="A251" s="7"/>
      <c r="B251" s="7"/>
      <c r="C251" s="9"/>
      <c r="D251" s="12"/>
      <c r="E251" s="31"/>
      <c r="F251" s="12"/>
      <c r="G251" s="12"/>
      <c r="H251" s="12"/>
      <c r="I251" s="13"/>
      <c r="J251" s="14"/>
      <c r="K251" s="14"/>
      <c r="L251" s="12"/>
      <c r="M251" s="12"/>
      <c r="N251" s="12"/>
      <c r="O251" s="12"/>
      <c r="P251" s="13"/>
      <c r="Q251" s="7"/>
      <c r="R251" s="7"/>
      <c r="S251" s="7"/>
    </row>
    <row r="252" spans="1:19" x14ac:dyDescent="0.2">
      <c r="A252" s="7"/>
      <c r="B252" s="7"/>
      <c r="C252" s="9"/>
      <c r="D252" s="12"/>
      <c r="E252" s="31"/>
      <c r="F252" s="12"/>
      <c r="G252" s="12"/>
      <c r="H252" s="12"/>
      <c r="I252" s="13"/>
      <c r="J252" s="14"/>
      <c r="K252" s="14"/>
      <c r="L252" s="12"/>
      <c r="M252" s="12"/>
      <c r="N252" s="12"/>
      <c r="O252" s="12"/>
      <c r="P252" s="13"/>
      <c r="Q252" s="7"/>
      <c r="R252" s="7"/>
      <c r="S252" s="7"/>
    </row>
    <row r="253" spans="1:19" x14ac:dyDescent="0.2">
      <c r="A253" s="7"/>
      <c r="B253" s="7"/>
      <c r="C253" s="9"/>
      <c r="D253" s="12"/>
      <c r="E253" s="31"/>
      <c r="F253" s="12"/>
      <c r="G253" s="12"/>
      <c r="H253" s="12"/>
      <c r="I253" s="13"/>
      <c r="J253" s="14"/>
      <c r="K253" s="14"/>
      <c r="L253" s="12"/>
      <c r="M253" s="12"/>
      <c r="N253" s="12"/>
      <c r="O253" s="12"/>
      <c r="P253" s="13"/>
      <c r="Q253" s="7"/>
      <c r="R253" s="7"/>
      <c r="S253" s="7"/>
    </row>
    <row r="254" spans="1:19" x14ac:dyDescent="0.2">
      <c r="A254" s="7"/>
      <c r="B254" s="7"/>
      <c r="C254" s="9"/>
      <c r="D254" s="12"/>
      <c r="E254" s="31"/>
      <c r="F254" s="12"/>
      <c r="G254" s="12"/>
      <c r="H254" s="12"/>
      <c r="I254" s="13"/>
      <c r="J254" s="14"/>
      <c r="K254" s="14"/>
      <c r="L254" s="12"/>
      <c r="M254" s="12"/>
      <c r="N254" s="12"/>
      <c r="O254" s="12"/>
      <c r="P254" s="13"/>
      <c r="Q254" s="7"/>
      <c r="R254" s="7"/>
      <c r="S254" s="7"/>
    </row>
    <row r="255" spans="1:19" x14ac:dyDescent="0.2">
      <c r="A255" s="7"/>
      <c r="B255" s="7"/>
      <c r="C255" s="9"/>
      <c r="D255" s="12"/>
      <c r="E255" s="31"/>
      <c r="F255" s="12"/>
      <c r="G255" s="12"/>
      <c r="H255" s="12"/>
      <c r="I255" s="13"/>
      <c r="J255" s="14"/>
      <c r="K255" s="14"/>
      <c r="L255" s="12"/>
      <c r="M255" s="12"/>
      <c r="N255" s="12"/>
      <c r="O255" s="12"/>
      <c r="P255" s="13"/>
      <c r="Q255" s="7"/>
      <c r="R255" s="7"/>
      <c r="S255" s="7"/>
    </row>
    <row r="256" spans="1:19" x14ac:dyDescent="0.2">
      <c r="A256" s="7"/>
      <c r="B256" s="7"/>
      <c r="C256" s="9"/>
      <c r="D256" s="12"/>
      <c r="E256" s="31"/>
      <c r="F256" s="12"/>
      <c r="G256" s="12"/>
      <c r="H256" s="12"/>
      <c r="I256" s="13"/>
      <c r="J256" s="14"/>
      <c r="K256" s="14"/>
      <c r="L256" s="12"/>
      <c r="M256" s="12"/>
      <c r="N256" s="12"/>
      <c r="O256" s="12"/>
      <c r="P256" s="13"/>
      <c r="Q256" s="7"/>
      <c r="R256" s="7"/>
      <c r="S256" s="7"/>
    </row>
    <row r="257" spans="1:19" x14ac:dyDescent="0.2">
      <c r="A257" s="7"/>
      <c r="B257" s="7"/>
      <c r="C257" s="9"/>
      <c r="D257" s="12"/>
      <c r="E257" s="31"/>
      <c r="F257" s="12"/>
      <c r="G257" s="12"/>
      <c r="H257" s="12"/>
      <c r="I257" s="13"/>
      <c r="J257" s="14"/>
      <c r="K257" s="14"/>
      <c r="L257" s="12"/>
      <c r="M257" s="12"/>
      <c r="N257" s="12"/>
      <c r="O257" s="12"/>
      <c r="P257" s="13"/>
      <c r="Q257" s="7"/>
      <c r="R257" s="7"/>
      <c r="S257" s="7"/>
    </row>
    <row r="258" spans="1:19" x14ac:dyDescent="0.2">
      <c r="A258" s="7"/>
      <c r="B258" s="7"/>
      <c r="C258" s="9"/>
      <c r="D258" s="12"/>
      <c r="E258" s="31"/>
      <c r="F258" s="12"/>
      <c r="G258" s="12"/>
      <c r="H258" s="12"/>
      <c r="I258" s="13"/>
      <c r="J258" s="14"/>
      <c r="K258" s="14"/>
      <c r="L258" s="12"/>
      <c r="M258" s="12"/>
      <c r="N258" s="12"/>
      <c r="O258" s="12"/>
      <c r="P258" s="13"/>
      <c r="Q258" s="7"/>
      <c r="R258" s="7"/>
      <c r="S258" s="7"/>
    </row>
    <row r="259" spans="1:19" x14ac:dyDescent="0.2">
      <c r="A259" s="7"/>
      <c r="B259" s="7"/>
      <c r="C259" s="9"/>
      <c r="D259" s="12"/>
      <c r="E259" s="31"/>
      <c r="F259" s="12"/>
      <c r="G259" s="12"/>
      <c r="H259" s="12"/>
      <c r="I259" s="13"/>
      <c r="J259" s="14"/>
      <c r="K259" s="14"/>
      <c r="L259" s="12"/>
      <c r="M259" s="12"/>
      <c r="N259" s="12"/>
      <c r="O259" s="12"/>
      <c r="P259" s="13"/>
      <c r="Q259" s="7"/>
      <c r="R259" s="7"/>
      <c r="S259" s="7"/>
    </row>
    <row r="260" spans="1:19" x14ac:dyDescent="0.2">
      <c r="A260" s="7"/>
      <c r="B260" s="7"/>
      <c r="C260" s="9"/>
      <c r="D260" s="12"/>
      <c r="E260" s="31"/>
      <c r="F260" s="12"/>
      <c r="G260" s="12"/>
      <c r="H260" s="12"/>
      <c r="I260" s="13"/>
      <c r="J260" s="14"/>
      <c r="K260" s="14"/>
      <c r="L260" s="12"/>
      <c r="M260" s="12"/>
      <c r="N260" s="12"/>
      <c r="O260" s="12"/>
      <c r="P260" s="13"/>
      <c r="Q260" s="7"/>
      <c r="R260" s="7"/>
      <c r="S260" s="7"/>
    </row>
    <row r="261" spans="1:19" x14ac:dyDescent="0.2">
      <c r="A261" s="7"/>
      <c r="B261" s="7"/>
      <c r="C261" s="9"/>
      <c r="D261" s="12"/>
      <c r="E261" s="31"/>
      <c r="F261" s="12"/>
      <c r="G261" s="12"/>
      <c r="H261" s="12"/>
      <c r="I261" s="13"/>
      <c r="J261" s="14"/>
      <c r="K261" s="14"/>
      <c r="L261" s="12"/>
      <c r="M261" s="12"/>
      <c r="N261" s="12"/>
      <c r="O261" s="12"/>
      <c r="P261" s="13"/>
      <c r="Q261" s="7"/>
      <c r="R261" s="7"/>
      <c r="S261" s="7"/>
    </row>
    <row r="262" spans="1:19" x14ac:dyDescent="0.2">
      <c r="A262" s="7"/>
      <c r="B262" s="7"/>
      <c r="C262" s="9"/>
      <c r="D262" s="12"/>
      <c r="E262" s="31"/>
      <c r="F262" s="12"/>
      <c r="G262" s="12"/>
      <c r="H262" s="12"/>
      <c r="I262" s="13"/>
      <c r="J262" s="14"/>
      <c r="K262" s="14"/>
      <c r="L262" s="12"/>
      <c r="M262" s="12"/>
      <c r="N262" s="12"/>
      <c r="O262" s="12"/>
      <c r="P262" s="13"/>
      <c r="Q262" s="7"/>
      <c r="R262" s="7"/>
      <c r="S262" s="7"/>
    </row>
    <row r="263" spans="1:19" x14ac:dyDescent="0.2">
      <c r="A263" s="7"/>
      <c r="B263" s="7"/>
      <c r="C263" s="9"/>
      <c r="D263" s="12"/>
      <c r="E263" s="31"/>
      <c r="F263" s="12"/>
      <c r="G263" s="12"/>
      <c r="H263" s="12"/>
      <c r="I263" s="13"/>
      <c r="J263" s="14"/>
      <c r="K263" s="14"/>
      <c r="L263" s="12"/>
      <c r="M263" s="12"/>
      <c r="N263" s="12"/>
      <c r="O263" s="12"/>
      <c r="P263" s="13"/>
      <c r="Q263" s="7"/>
      <c r="R263" s="7"/>
      <c r="S263" s="7"/>
    </row>
    <row r="264" spans="1:19" x14ac:dyDescent="0.2">
      <c r="A264" s="7"/>
      <c r="B264" s="7"/>
      <c r="C264" s="9"/>
      <c r="D264" s="12"/>
      <c r="E264" s="31"/>
      <c r="F264" s="12"/>
      <c r="G264" s="12"/>
      <c r="H264" s="12"/>
      <c r="I264" s="13"/>
      <c r="J264" s="14"/>
      <c r="K264" s="14"/>
      <c r="L264" s="12"/>
      <c r="M264" s="12"/>
      <c r="N264" s="12"/>
      <c r="O264" s="12"/>
      <c r="P264" s="13"/>
      <c r="Q264" s="7"/>
      <c r="R264" s="7"/>
      <c r="S264" s="7"/>
    </row>
    <row r="265" spans="1:19" x14ac:dyDescent="0.2">
      <c r="A265" s="7"/>
      <c r="B265" s="7"/>
      <c r="C265" s="9"/>
      <c r="D265" s="12"/>
      <c r="E265" s="31"/>
      <c r="F265" s="12"/>
      <c r="G265" s="12"/>
      <c r="H265" s="12"/>
      <c r="I265" s="13"/>
      <c r="J265" s="14"/>
      <c r="K265" s="14"/>
      <c r="L265" s="12"/>
      <c r="M265" s="12"/>
      <c r="N265" s="12"/>
      <c r="O265" s="12"/>
      <c r="P265" s="13"/>
      <c r="Q265" s="7"/>
      <c r="R265" s="7"/>
      <c r="S265" s="7"/>
    </row>
    <row r="266" spans="1:19" x14ac:dyDescent="0.2">
      <c r="A266" s="7"/>
      <c r="B266" s="7"/>
      <c r="C266" s="9"/>
      <c r="D266" s="12"/>
      <c r="E266" s="31"/>
      <c r="F266" s="12"/>
      <c r="G266" s="12"/>
      <c r="H266" s="12"/>
      <c r="I266" s="13"/>
      <c r="J266" s="14"/>
      <c r="K266" s="14"/>
      <c r="L266" s="12"/>
      <c r="M266" s="12"/>
      <c r="N266" s="12"/>
      <c r="O266" s="12"/>
      <c r="P266" s="13"/>
      <c r="Q266" s="7"/>
      <c r="R266" s="7"/>
      <c r="S266" s="7"/>
    </row>
    <row r="267" spans="1:19" x14ac:dyDescent="0.2">
      <c r="A267" s="7"/>
      <c r="B267" s="7"/>
      <c r="C267" s="9"/>
      <c r="D267" s="12"/>
      <c r="E267" s="31"/>
      <c r="F267" s="12"/>
      <c r="G267" s="12"/>
      <c r="H267" s="12"/>
      <c r="I267" s="13"/>
      <c r="J267" s="14"/>
      <c r="K267" s="14"/>
      <c r="L267" s="12"/>
      <c r="M267" s="12"/>
      <c r="N267" s="12"/>
      <c r="O267" s="12"/>
      <c r="P267" s="13"/>
      <c r="Q267" s="7"/>
      <c r="R267" s="7"/>
      <c r="S267" s="7"/>
    </row>
    <row r="268" spans="1:19" x14ac:dyDescent="0.2">
      <c r="A268" s="7"/>
      <c r="B268" s="7"/>
      <c r="C268" s="9"/>
      <c r="D268" s="12"/>
      <c r="E268" s="31"/>
      <c r="F268" s="12"/>
      <c r="G268" s="12"/>
      <c r="H268" s="12"/>
      <c r="I268" s="13"/>
      <c r="J268" s="14"/>
      <c r="K268" s="14"/>
      <c r="L268" s="12"/>
      <c r="M268" s="12"/>
      <c r="N268" s="12"/>
      <c r="O268" s="12"/>
      <c r="P268" s="13"/>
      <c r="Q268" s="7"/>
      <c r="R268" s="7"/>
      <c r="S268" s="7"/>
    </row>
    <row r="269" spans="1:19" x14ac:dyDescent="0.2">
      <c r="A269" s="7"/>
      <c r="B269" s="7"/>
      <c r="C269" s="9"/>
      <c r="D269" s="12"/>
      <c r="E269" s="31"/>
      <c r="F269" s="12"/>
      <c r="G269" s="12"/>
      <c r="H269" s="12"/>
      <c r="I269" s="13"/>
      <c r="J269" s="14"/>
      <c r="K269" s="14"/>
      <c r="L269" s="12"/>
      <c r="M269" s="12"/>
      <c r="N269" s="12"/>
      <c r="O269" s="12"/>
      <c r="P269" s="13"/>
      <c r="Q269" s="7"/>
      <c r="R269" s="7"/>
      <c r="S269" s="7"/>
    </row>
    <row r="270" spans="1:19" x14ac:dyDescent="0.2">
      <c r="A270" s="7"/>
      <c r="B270" s="7"/>
      <c r="C270" s="9"/>
      <c r="D270" s="12"/>
      <c r="E270" s="31"/>
      <c r="F270" s="12"/>
      <c r="G270" s="12"/>
      <c r="H270" s="12"/>
      <c r="I270" s="13"/>
      <c r="J270" s="14"/>
      <c r="K270" s="14"/>
      <c r="L270" s="12"/>
      <c r="M270" s="12"/>
      <c r="N270" s="12"/>
      <c r="O270" s="12"/>
      <c r="P270" s="13"/>
      <c r="Q270" s="7"/>
      <c r="R270" s="7"/>
      <c r="S270" s="7"/>
    </row>
    <row r="271" spans="1:19" x14ac:dyDescent="0.2">
      <c r="A271" s="7"/>
      <c r="B271" s="7"/>
      <c r="C271" s="9"/>
      <c r="D271" s="12"/>
      <c r="E271" s="31"/>
      <c r="F271" s="12"/>
      <c r="G271" s="12"/>
      <c r="H271" s="12"/>
      <c r="I271" s="13"/>
      <c r="J271" s="14"/>
      <c r="K271" s="14"/>
      <c r="L271" s="12"/>
      <c r="M271" s="12"/>
      <c r="N271" s="12"/>
      <c r="O271" s="12"/>
      <c r="P271" s="13"/>
      <c r="Q271" s="7"/>
      <c r="R271" s="7"/>
      <c r="S271" s="7"/>
    </row>
    <row r="272" spans="1:19" x14ac:dyDescent="0.2">
      <c r="A272" s="7"/>
      <c r="B272" s="7"/>
      <c r="C272" s="9"/>
      <c r="D272" s="12"/>
      <c r="E272" s="31"/>
      <c r="F272" s="12"/>
      <c r="G272" s="12"/>
      <c r="H272" s="12"/>
      <c r="I272" s="13"/>
      <c r="J272" s="14"/>
      <c r="K272" s="14"/>
      <c r="L272" s="12"/>
      <c r="M272" s="12"/>
      <c r="N272" s="12"/>
      <c r="O272" s="12"/>
      <c r="P272" s="13"/>
      <c r="Q272" s="7"/>
      <c r="R272" s="7"/>
      <c r="S272" s="7"/>
    </row>
    <row r="273" spans="1:19" x14ac:dyDescent="0.2">
      <c r="A273" s="7"/>
      <c r="B273" s="7"/>
      <c r="C273" s="9"/>
      <c r="D273" s="12"/>
      <c r="E273" s="31"/>
      <c r="F273" s="12"/>
      <c r="G273" s="12"/>
      <c r="H273" s="12"/>
      <c r="I273" s="13"/>
      <c r="J273" s="14"/>
      <c r="K273" s="14"/>
      <c r="L273" s="12"/>
      <c r="M273" s="12"/>
      <c r="N273" s="12"/>
      <c r="O273" s="12"/>
      <c r="P273" s="13"/>
      <c r="Q273" s="7"/>
      <c r="R273" s="7"/>
      <c r="S273" s="7"/>
    </row>
    <row r="274" spans="1:19" x14ac:dyDescent="0.2">
      <c r="A274" s="7"/>
      <c r="B274" s="7"/>
      <c r="C274" s="9"/>
      <c r="D274" s="12"/>
      <c r="E274" s="31"/>
      <c r="F274" s="12"/>
      <c r="G274" s="12"/>
      <c r="H274" s="12"/>
      <c r="I274" s="13"/>
      <c r="J274" s="14"/>
      <c r="K274" s="14"/>
      <c r="L274" s="12"/>
      <c r="M274" s="12"/>
      <c r="N274" s="12"/>
      <c r="O274" s="12"/>
      <c r="P274" s="13"/>
      <c r="Q274" s="7"/>
      <c r="R274" s="7"/>
      <c r="S274" s="7"/>
    </row>
    <row r="275" spans="1:19" x14ac:dyDescent="0.2">
      <c r="A275" s="7"/>
      <c r="B275" s="7"/>
      <c r="C275" s="9"/>
      <c r="D275" s="12"/>
      <c r="E275" s="31"/>
      <c r="F275" s="12"/>
      <c r="G275" s="12"/>
      <c r="H275" s="12"/>
      <c r="I275" s="13"/>
      <c r="J275" s="14"/>
      <c r="K275" s="14"/>
      <c r="L275" s="12"/>
      <c r="M275" s="12"/>
      <c r="N275" s="12"/>
      <c r="O275" s="12"/>
      <c r="P275" s="13"/>
      <c r="Q275" s="7"/>
      <c r="R275" s="7"/>
      <c r="S275" s="7"/>
    </row>
    <row r="276" spans="1:19" x14ac:dyDescent="0.2">
      <c r="A276" s="7"/>
      <c r="B276" s="7"/>
      <c r="C276" s="9"/>
      <c r="D276" s="12"/>
      <c r="E276" s="31"/>
      <c r="F276" s="12"/>
      <c r="G276" s="12"/>
      <c r="H276" s="12"/>
      <c r="I276" s="13"/>
      <c r="J276" s="14"/>
      <c r="K276" s="14"/>
      <c r="L276" s="12"/>
      <c r="M276" s="12"/>
      <c r="N276" s="12"/>
      <c r="O276" s="12"/>
      <c r="P276" s="13"/>
      <c r="Q276" s="7"/>
      <c r="R276" s="7"/>
      <c r="S276" s="7"/>
    </row>
    <row r="277" spans="1:19" x14ac:dyDescent="0.2">
      <c r="A277" s="7"/>
      <c r="B277" s="7"/>
      <c r="C277" s="9"/>
      <c r="D277" s="12"/>
      <c r="E277" s="31"/>
      <c r="F277" s="12"/>
      <c r="G277" s="12"/>
      <c r="H277" s="12"/>
      <c r="I277" s="13"/>
      <c r="J277" s="14"/>
      <c r="K277" s="14"/>
      <c r="L277" s="12"/>
      <c r="M277" s="12"/>
      <c r="N277" s="12"/>
      <c r="O277" s="12"/>
      <c r="P277" s="13"/>
      <c r="Q277" s="7"/>
      <c r="R277" s="7"/>
      <c r="S277" s="7"/>
    </row>
    <row r="278" spans="1:19" x14ac:dyDescent="0.2">
      <c r="A278" s="7"/>
      <c r="B278" s="7"/>
      <c r="C278" s="9"/>
      <c r="D278" s="12"/>
      <c r="E278" s="31"/>
      <c r="F278" s="12"/>
      <c r="G278" s="12"/>
      <c r="H278" s="12"/>
      <c r="I278" s="13"/>
      <c r="J278" s="14"/>
      <c r="K278" s="14"/>
      <c r="L278" s="12"/>
      <c r="M278" s="12"/>
      <c r="N278" s="12"/>
      <c r="O278" s="12"/>
      <c r="P278" s="13"/>
      <c r="Q278" s="7"/>
      <c r="R278" s="7"/>
      <c r="S278" s="7"/>
    </row>
    <row r="279" spans="1:19" x14ac:dyDescent="0.2">
      <c r="A279" s="7"/>
      <c r="B279" s="7"/>
      <c r="C279" s="9"/>
      <c r="D279" s="12"/>
      <c r="E279" s="31"/>
      <c r="F279" s="12"/>
      <c r="G279" s="12"/>
      <c r="H279" s="12"/>
      <c r="I279" s="13"/>
      <c r="J279" s="14"/>
      <c r="K279" s="14"/>
      <c r="L279" s="12"/>
      <c r="M279" s="12"/>
      <c r="N279" s="12"/>
      <c r="O279" s="12"/>
      <c r="P279" s="13"/>
      <c r="Q279" s="7"/>
      <c r="R279" s="7"/>
      <c r="S279" s="7"/>
    </row>
    <row r="280" spans="1:19" x14ac:dyDescent="0.2">
      <c r="A280" s="7"/>
      <c r="B280" s="7"/>
      <c r="C280" s="9"/>
      <c r="D280" s="12"/>
      <c r="E280" s="31"/>
      <c r="F280" s="12"/>
      <c r="G280" s="12"/>
      <c r="H280" s="12"/>
      <c r="I280" s="13"/>
      <c r="J280" s="14"/>
      <c r="K280" s="14"/>
      <c r="L280" s="12"/>
      <c r="M280" s="12"/>
      <c r="N280" s="12"/>
      <c r="O280" s="12"/>
      <c r="P280" s="13"/>
      <c r="Q280" s="7"/>
      <c r="R280" s="7"/>
      <c r="S280" s="7"/>
    </row>
    <row r="281" spans="1:19" x14ac:dyDescent="0.2">
      <c r="A281" s="7"/>
      <c r="B281" s="7"/>
      <c r="C281" s="9"/>
      <c r="D281" s="12"/>
      <c r="E281" s="31"/>
      <c r="F281" s="12"/>
      <c r="G281" s="12"/>
      <c r="H281" s="12"/>
      <c r="I281" s="13"/>
      <c r="J281" s="14"/>
      <c r="K281" s="14"/>
      <c r="L281" s="12"/>
      <c r="M281" s="12"/>
      <c r="N281" s="12"/>
      <c r="O281" s="12"/>
      <c r="P281" s="13"/>
      <c r="Q281" s="7"/>
      <c r="R281" s="7"/>
      <c r="S281" s="7"/>
    </row>
    <row r="282" spans="1:19" x14ac:dyDescent="0.2">
      <c r="A282" s="7"/>
      <c r="B282" s="7"/>
      <c r="C282" s="9"/>
      <c r="D282" s="12"/>
      <c r="E282" s="31"/>
      <c r="F282" s="12"/>
      <c r="G282" s="12"/>
      <c r="H282" s="12"/>
      <c r="I282" s="13"/>
      <c r="J282" s="14"/>
      <c r="K282" s="14"/>
      <c r="L282" s="12"/>
      <c r="M282" s="12"/>
      <c r="N282" s="12"/>
      <c r="O282" s="12"/>
      <c r="P282" s="13"/>
      <c r="Q282" s="7"/>
      <c r="R282" s="7"/>
      <c r="S282" s="7"/>
    </row>
    <row r="283" spans="1:19" x14ac:dyDescent="0.2">
      <c r="A283" s="7"/>
      <c r="B283" s="7"/>
      <c r="C283" s="9"/>
      <c r="D283" s="12"/>
      <c r="E283" s="31"/>
      <c r="F283" s="12"/>
      <c r="G283" s="12"/>
      <c r="H283" s="12"/>
      <c r="I283" s="13"/>
      <c r="J283" s="14"/>
      <c r="K283" s="14"/>
      <c r="L283" s="12"/>
      <c r="M283" s="12"/>
      <c r="N283" s="12"/>
      <c r="O283" s="12"/>
      <c r="P283" s="13"/>
      <c r="Q283" s="7"/>
      <c r="R283" s="7"/>
      <c r="S283" s="7"/>
    </row>
    <row r="284" spans="1:19" x14ac:dyDescent="0.2">
      <c r="A284" s="7"/>
      <c r="B284" s="7"/>
      <c r="C284" s="9"/>
      <c r="D284" s="12"/>
      <c r="E284" s="31"/>
      <c r="F284" s="12"/>
      <c r="G284" s="12"/>
      <c r="H284" s="12"/>
      <c r="I284" s="13"/>
      <c r="J284" s="14"/>
      <c r="K284" s="14"/>
      <c r="L284" s="12"/>
      <c r="M284" s="12"/>
      <c r="N284" s="12"/>
      <c r="O284" s="12"/>
      <c r="P284" s="13"/>
      <c r="Q284" s="7"/>
      <c r="R284" s="7"/>
      <c r="S284" s="7"/>
    </row>
    <row r="285" spans="1:19" x14ac:dyDescent="0.2">
      <c r="A285" s="7"/>
      <c r="B285" s="7"/>
      <c r="C285" s="9"/>
      <c r="D285" s="12"/>
      <c r="E285" s="31"/>
      <c r="F285" s="12"/>
      <c r="G285" s="12"/>
      <c r="H285" s="12"/>
      <c r="I285" s="13"/>
      <c r="J285" s="14"/>
      <c r="K285" s="14"/>
      <c r="L285" s="12"/>
      <c r="M285" s="12"/>
      <c r="N285" s="12"/>
      <c r="O285" s="12"/>
      <c r="P285" s="13"/>
      <c r="Q285" s="7"/>
      <c r="R285" s="7"/>
      <c r="S285" s="7"/>
    </row>
    <row r="286" spans="1:19" x14ac:dyDescent="0.2">
      <c r="A286" s="7"/>
      <c r="B286" s="7"/>
      <c r="C286" s="9"/>
      <c r="D286" s="12"/>
      <c r="E286" s="31"/>
      <c r="F286" s="12"/>
      <c r="G286" s="12"/>
      <c r="H286" s="12"/>
      <c r="I286" s="13"/>
      <c r="J286" s="14"/>
      <c r="K286" s="14"/>
      <c r="L286" s="12"/>
      <c r="M286" s="12"/>
      <c r="N286" s="12"/>
      <c r="O286" s="12"/>
      <c r="P286" s="13"/>
      <c r="Q286" s="7"/>
      <c r="R286" s="7"/>
      <c r="S286" s="7"/>
    </row>
    <row r="287" spans="1:19" x14ac:dyDescent="0.2">
      <c r="A287" s="7"/>
      <c r="B287" s="7"/>
      <c r="C287" s="9"/>
      <c r="D287" s="12"/>
      <c r="E287" s="31"/>
      <c r="F287" s="12"/>
      <c r="G287" s="12"/>
      <c r="H287" s="12"/>
      <c r="I287" s="13"/>
      <c r="J287" s="14"/>
      <c r="K287" s="14"/>
      <c r="L287" s="12"/>
      <c r="M287" s="12"/>
      <c r="N287" s="12"/>
      <c r="O287" s="12"/>
      <c r="P287" s="13"/>
      <c r="Q287" s="7"/>
      <c r="R287" s="7"/>
      <c r="S287" s="7"/>
    </row>
    <row r="288" spans="1:19" x14ac:dyDescent="0.2">
      <c r="A288" s="7"/>
      <c r="B288" s="7"/>
      <c r="C288" s="9"/>
      <c r="D288" s="12"/>
      <c r="E288" s="31"/>
      <c r="F288" s="12"/>
      <c r="G288" s="12"/>
      <c r="H288" s="12"/>
      <c r="I288" s="13"/>
      <c r="J288" s="14"/>
      <c r="K288" s="14"/>
      <c r="L288" s="12"/>
      <c r="M288" s="12"/>
      <c r="N288" s="12"/>
      <c r="O288" s="12"/>
      <c r="P288" s="13"/>
      <c r="Q288" s="7"/>
      <c r="R288" s="7"/>
      <c r="S288" s="7"/>
    </row>
    <row r="289" spans="1:19" x14ac:dyDescent="0.2">
      <c r="A289" s="7"/>
      <c r="B289" s="7"/>
      <c r="C289" s="9"/>
      <c r="D289" s="12"/>
      <c r="E289" s="31"/>
      <c r="F289" s="12"/>
      <c r="G289" s="12"/>
      <c r="H289" s="12"/>
      <c r="I289" s="13"/>
      <c r="J289" s="14"/>
      <c r="K289" s="14"/>
      <c r="L289" s="12"/>
      <c r="M289" s="12"/>
      <c r="N289" s="12"/>
      <c r="O289" s="12"/>
      <c r="P289" s="13"/>
      <c r="Q289" s="7"/>
      <c r="R289" s="7"/>
      <c r="S289" s="7"/>
    </row>
    <row r="290" spans="1:19" x14ac:dyDescent="0.2">
      <c r="A290" s="7"/>
      <c r="B290" s="7"/>
      <c r="C290" s="9"/>
      <c r="D290" s="12"/>
      <c r="E290" s="31"/>
      <c r="F290" s="12"/>
      <c r="G290" s="12"/>
      <c r="H290" s="12"/>
      <c r="I290" s="13"/>
      <c r="J290" s="14"/>
      <c r="K290" s="14"/>
      <c r="L290" s="12"/>
      <c r="M290" s="12"/>
      <c r="N290" s="12"/>
      <c r="O290" s="12"/>
      <c r="P290" s="13"/>
      <c r="Q290" s="7"/>
      <c r="R290" s="7"/>
      <c r="S290" s="7"/>
    </row>
    <row r="291" spans="1:19" x14ac:dyDescent="0.2">
      <c r="A291" s="7"/>
      <c r="B291" s="7"/>
      <c r="C291" s="9"/>
      <c r="D291" s="12"/>
      <c r="E291" s="31"/>
      <c r="F291" s="12"/>
      <c r="G291" s="12"/>
      <c r="H291" s="12"/>
      <c r="I291" s="13"/>
      <c r="J291" s="14"/>
      <c r="K291" s="14"/>
      <c r="L291" s="12"/>
      <c r="M291" s="12"/>
      <c r="N291" s="12"/>
      <c r="O291" s="12"/>
      <c r="P291" s="13"/>
      <c r="Q291" s="7"/>
      <c r="R291" s="7"/>
      <c r="S291" s="7"/>
    </row>
    <row r="292" spans="1:19" x14ac:dyDescent="0.2">
      <c r="A292" s="7"/>
      <c r="B292" s="7"/>
      <c r="C292" s="9"/>
      <c r="D292" s="12"/>
      <c r="E292" s="31"/>
      <c r="F292" s="12"/>
      <c r="G292" s="12"/>
      <c r="H292" s="12"/>
      <c r="I292" s="13"/>
      <c r="J292" s="14"/>
      <c r="K292" s="14"/>
      <c r="L292" s="12"/>
      <c r="M292" s="12"/>
      <c r="N292" s="12"/>
      <c r="O292" s="12"/>
      <c r="P292" s="13"/>
      <c r="Q292" s="7"/>
      <c r="R292" s="7"/>
      <c r="S292" s="7"/>
    </row>
    <row r="293" spans="1:19" x14ac:dyDescent="0.2">
      <c r="A293" s="7"/>
      <c r="B293" s="7"/>
      <c r="C293" s="9"/>
      <c r="D293" s="12"/>
      <c r="E293" s="31"/>
      <c r="F293" s="12"/>
      <c r="G293" s="12"/>
      <c r="H293" s="12"/>
      <c r="I293" s="13"/>
      <c r="J293" s="14"/>
      <c r="K293" s="14"/>
      <c r="L293" s="12"/>
      <c r="M293" s="12"/>
      <c r="N293" s="12"/>
      <c r="O293" s="12"/>
      <c r="P293" s="13"/>
      <c r="Q293" s="7"/>
      <c r="R293" s="7"/>
      <c r="S293" s="7"/>
    </row>
    <row r="294" spans="1:19" x14ac:dyDescent="0.2">
      <c r="A294" s="7"/>
      <c r="B294" s="7"/>
      <c r="C294" s="9"/>
      <c r="D294" s="12"/>
      <c r="E294" s="31"/>
      <c r="F294" s="12"/>
      <c r="G294" s="12"/>
      <c r="H294" s="12"/>
      <c r="I294" s="13"/>
      <c r="J294" s="14"/>
      <c r="K294" s="14"/>
      <c r="L294" s="12"/>
      <c r="M294" s="12"/>
      <c r="N294" s="12"/>
      <c r="O294" s="12"/>
      <c r="P294" s="13"/>
      <c r="Q294" s="7"/>
      <c r="R294" s="7"/>
      <c r="S294" s="7"/>
    </row>
    <row r="295" spans="1:19" x14ac:dyDescent="0.2">
      <c r="A295" s="7"/>
      <c r="B295" s="7"/>
      <c r="C295" s="9"/>
      <c r="D295" s="12"/>
      <c r="E295" s="31"/>
      <c r="F295" s="12"/>
      <c r="G295" s="12"/>
      <c r="H295" s="12"/>
      <c r="I295" s="13"/>
      <c r="J295" s="14"/>
      <c r="K295" s="14"/>
      <c r="L295" s="12"/>
      <c r="M295" s="12"/>
      <c r="N295" s="12"/>
      <c r="O295" s="12"/>
      <c r="P295" s="13"/>
      <c r="Q295" s="7"/>
      <c r="R295" s="7"/>
      <c r="S295" s="7"/>
    </row>
    <row r="296" spans="1:19" x14ac:dyDescent="0.2">
      <c r="A296" s="7"/>
      <c r="B296" s="7"/>
      <c r="C296" s="9"/>
      <c r="D296" s="12"/>
      <c r="E296" s="31"/>
      <c r="F296" s="12"/>
      <c r="G296" s="12"/>
      <c r="H296" s="12"/>
      <c r="I296" s="13"/>
      <c r="J296" s="14"/>
      <c r="K296" s="14"/>
      <c r="L296" s="12"/>
      <c r="M296" s="12"/>
      <c r="N296" s="12"/>
      <c r="O296" s="12"/>
      <c r="P296" s="13"/>
      <c r="Q296" s="7"/>
      <c r="R296" s="7"/>
      <c r="S296" s="7"/>
    </row>
    <row r="297" spans="1:19" x14ac:dyDescent="0.2">
      <c r="A297" s="7"/>
      <c r="B297" s="7"/>
      <c r="C297" s="9"/>
      <c r="D297" s="12"/>
      <c r="E297" s="31"/>
      <c r="F297" s="12"/>
      <c r="G297" s="12"/>
      <c r="H297" s="12"/>
      <c r="I297" s="13"/>
      <c r="J297" s="14"/>
      <c r="K297" s="14"/>
      <c r="L297" s="12"/>
      <c r="M297" s="12"/>
      <c r="N297" s="12"/>
      <c r="O297" s="12"/>
      <c r="P297" s="13"/>
      <c r="Q297" s="7"/>
      <c r="R297" s="7"/>
      <c r="S297" s="7"/>
    </row>
    <row r="298" spans="1:19" x14ac:dyDescent="0.2">
      <c r="A298" s="7"/>
      <c r="B298" s="7"/>
      <c r="C298" s="9"/>
      <c r="D298" s="12"/>
      <c r="E298" s="31"/>
      <c r="F298" s="12"/>
      <c r="G298" s="12"/>
      <c r="H298" s="12"/>
      <c r="I298" s="13"/>
      <c r="J298" s="14"/>
      <c r="K298" s="14"/>
      <c r="L298" s="12"/>
      <c r="M298" s="12"/>
      <c r="N298" s="12"/>
      <c r="O298" s="12"/>
      <c r="P298" s="13"/>
      <c r="Q298" s="7"/>
      <c r="R298" s="7"/>
      <c r="S298" s="7"/>
    </row>
    <row r="299" spans="1:19" x14ac:dyDescent="0.2">
      <c r="A299" s="7"/>
      <c r="B299" s="7"/>
      <c r="C299" s="9"/>
      <c r="D299" s="12"/>
      <c r="E299" s="31"/>
      <c r="F299" s="12"/>
      <c r="G299" s="12"/>
      <c r="H299" s="12"/>
      <c r="I299" s="13"/>
      <c r="J299" s="14"/>
      <c r="K299" s="14"/>
      <c r="L299" s="12"/>
      <c r="M299" s="12"/>
      <c r="N299" s="12"/>
      <c r="O299" s="12"/>
      <c r="P299" s="13"/>
      <c r="Q299" s="7"/>
      <c r="R299" s="7"/>
      <c r="S299" s="7"/>
    </row>
    <row r="300" spans="1:19" x14ac:dyDescent="0.2">
      <c r="A300" s="7"/>
      <c r="B300" s="7"/>
      <c r="C300" s="9"/>
      <c r="D300" s="12"/>
      <c r="E300" s="31"/>
      <c r="F300" s="12"/>
      <c r="G300" s="12"/>
      <c r="H300" s="12"/>
      <c r="I300" s="13"/>
      <c r="J300" s="14"/>
      <c r="K300" s="14"/>
      <c r="L300" s="12"/>
      <c r="M300" s="12"/>
      <c r="N300" s="12"/>
      <c r="O300" s="12"/>
      <c r="P300" s="13"/>
      <c r="Q300" s="7"/>
      <c r="R300" s="7"/>
      <c r="S300" s="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 1. Introduction</vt:lpstr>
      <vt:lpstr>Sheet 2. County Level Data</vt:lpstr>
      <vt:lpstr>Sheet 3. Total Amounts </vt:lpstr>
      <vt:lpstr>Sheet 4. Per Capita Amounts</vt:lpstr>
      <vt:lpstr>Formula Calculations (LOCKED)</vt:lpstr>
      <vt:lpstr>'Sheet 1. Introduction'!OLE_LINK1</vt:lpstr>
    </vt:vector>
  </TitlesOfParts>
  <Manager/>
  <Company>ETSU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Dockery, Nathan A</dc:creator>
  <cp:keywords/>
  <dc:description/>
  <cp:lastModifiedBy>Balio, Casey P</cp:lastModifiedBy>
  <cp:revision/>
  <dcterms:created xsi:type="dcterms:W3CDTF">2025-07-09T17:40:35Z</dcterms:created>
  <dcterms:modified xsi:type="dcterms:W3CDTF">2026-09-10T15:47:12Z</dcterms:modified>
  <cp:category/>
  <cp:contentStatus/>
</cp:coreProperties>
</file>